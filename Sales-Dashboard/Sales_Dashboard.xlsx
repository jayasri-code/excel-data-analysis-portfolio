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5f23d1b532302afc/Documents/"/>
    </mc:Choice>
  </mc:AlternateContent>
  <xr:revisionPtr revIDLastSave="21" documentId="14_{26533D92-B938-4EC6-A4F6-9DC65F2E9D5E}" xr6:coauthVersionLast="47" xr6:coauthVersionMax="47" xr10:uidLastSave="{B8863C0A-3799-484C-8313-EE13FE617A14}"/>
  <bookViews>
    <workbookView xWindow="-110" yWindow="-110" windowWidth="19420" windowHeight="10300" activeTab="6" xr2:uid="{00000000-000D-0000-FFFF-FFFF00000000}"/>
  </bookViews>
  <sheets>
    <sheet name="Sheet3" sheetId="4" r:id="rId1"/>
    <sheet name="Sheet2" sheetId="3" r:id="rId2"/>
    <sheet name="Sheet4" sheetId="5" r:id="rId3"/>
    <sheet name="Sheet5" sheetId="6" r:id="rId4"/>
    <sheet name="Sheet6" sheetId="7" r:id="rId5"/>
    <sheet name="Sales_Data" sheetId="1" r:id="rId6"/>
    <sheet name="Dashboard" sheetId="2" r:id="rId7"/>
  </sheets>
  <definedNames>
    <definedName name="_xlnm._FilterDatabase" localSheetId="5" hidden="1">Sales_Data!$A$1:$J$501</definedName>
    <definedName name="_xlcn.WorksheetConnection_Sales_Dashboard.xlsxTable11" hidden="1">Table1[]</definedName>
    <definedName name="Slicer_Category">#N/A</definedName>
    <definedName name="Slicer_Region">#N/A</definedName>
  </definedNames>
  <calcPr calcId="191029"/>
  <pivotCaches>
    <pivotCache cacheId="24" r:id="rId8"/>
    <pivotCache cacheId="1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_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2" l="1"/>
  <c r="E5" i="2"/>
  <c r="C5" i="2"/>
  <c r="A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216A6B-0F23-4C8E-BD78-8031B83CEF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18D3E7A-3093-49D6-8DB1-A1D0892EE3EF}" name="WorksheetConnection_Sales_Dashboard.xlsx!Table1" type="102" refreshedVersion="8" minRefreshableVersion="5">
    <extLst>
      <ext xmlns:x15="http://schemas.microsoft.com/office/spreadsheetml/2010/11/main" uri="{DE250136-89BD-433C-8126-D09CA5730AF9}">
        <x15:connection id="Table1" autoDelete="1">
          <x15:rangePr sourceName="_xlcn.WorksheetConnection_Sales_Dashboard.xlsxTable11"/>
        </x15:connection>
      </ext>
    </extLst>
  </connection>
</connections>
</file>

<file path=xl/sharedStrings.xml><?xml version="1.0" encoding="utf-8"?>
<sst xmlns="http://schemas.openxmlformats.org/spreadsheetml/2006/main" count="2565" uniqueCount="646">
  <si>
    <t>Order ID</t>
  </si>
  <si>
    <t>Order Date</t>
  </si>
  <si>
    <t>Customer</t>
  </si>
  <si>
    <t>Product</t>
  </si>
  <si>
    <t>Category</t>
  </si>
  <si>
    <t>Region</t>
  </si>
  <si>
    <t>Quantity</t>
  </si>
  <si>
    <t>Unit Price</t>
  </si>
  <si>
    <t>Sales</t>
  </si>
  <si>
    <t>Profit</t>
  </si>
  <si>
    <t>ORD10390</t>
  </si>
  <si>
    <t>Customer 088</t>
  </si>
  <si>
    <t>Laptop</t>
  </si>
  <si>
    <t>Electronics</t>
  </si>
  <si>
    <t>North</t>
  </si>
  <si>
    <t>ORD10316</t>
  </si>
  <si>
    <t>Customer 014</t>
  </si>
  <si>
    <t>Tablet</t>
  </si>
  <si>
    <t>East</t>
  </si>
  <si>
    <t>ORD10336</t>
  </si>
  <si>
    <t>South</t>
  </si>
  <si>
    <t>ORD10387</t>
  </si>
  <si>
    <t>Customer 035</t>
  </si>
  <si>
    <t>Keyboard</t>
  </si>
  <si>
    <t>Accessories</t>
  </si>
  <si>
    <t>ORD10090</t>
  </si>
  <si>
    <t>Customer 039</t>
  </si>
  <si>
    <t>Monitor</t>
  </si>
  <si>
    <t>ORD10126</t>
  </si>
  <si>
    <t>Customer 072</t>
  </si>
  <si>
    <t>ORD10040</t>
  </si>
  <si>
    <t>Customer 021</t>
  </si>
  <si>
    <t>West</t>
  </si>
  <si>
    <t>ORD10202</t>
  </si>
  <si>
    <t>Customer 020</t>
  </si>
  <si>
    <t>ORD10224</t>
  </si>
  <si>
    <t>Customer 003</t>
  </si>
  <si>
    <t>Mouse</t>
  </si>
  <si>
    <t>ORD10183</t>
  </si>
  <si>
    <t>Customer 046</t>
  </si>
  <si>
    <t>Webcam</t>
  </si>
  <si>
    <t>ORD10260</t>
  </si>
  <si>
    <t>Customer 099</t>
  </si>
  <si>
    <t>ORD10342</t>
  </si>
  <si>
    <t>Customer 081</t>
  </si>
  <si>
    <t>ORD10259</t>
  </si>
  <si>
    <t>Customer 066</t>
  </si>
  <si>
    <t>ORD10071</t>
  </si>
  <si>
    <t>Customer 086</t>
  </si>
  <si>
    <t>ORD10027</t>
  </si>
  <si>
    <t>Customer 075</t>
  </si>
  <si>
    <t>ORD10354</t>
  </si>
  <si>
    <t>Customer 078</t>
  </si>
  <si>
    <t>ORD10143</t>
  </si>
  <si>
    <t>Customer 074</t>
  </si>
  <si>
    <t>ORD10348</t>
  </si>
  <si>
    <t>Customer 089</t>
  </si>
  <si>
    <t>ORD10389</t>
  </si>
  <si>
    <t>Customer 098</t>
  </si>
  <si>
    <t>ORD10041</t>
  </si>
  <si>
    <t>Customer 082</t>
  </si>
  <si>
    <t>ORD10356</t>
  </si>
  <si>
    <t>Customer 041</t>
  </si>
  <si>
    <t>Printer</t>
  </si>
  <si>
    <t>Office</t>
  </si>
  <si>
    <t>ORD10129</t>
  </si>
  <si>
    <t>Customer 042</t>
  </si>
  <si>
    <t>ORD10175</t>
  </si>
  <si>
    <t>Customer 004</t>
  </si>
  <si>
    <t>ORD10209</t>
  </si>
  <si>
    <t>Customer 093</t>
  </si>
  <si>
    <t>ORD10282</t>
  </si>
  <si>
    <t>Customer 057</t>
  </si>
  <si>
    <t>ORD10415</t>
  </si>
  <si>
    <t>ORD10319</t>
  </si>
  <si>
    <t>Customer 022</t>
  </si>
  <si>
    <t>ORD10358</t>
  </si>
  <si>
    <t>Customer 068</t>
  </si>
  <si>
    <t>ORD10370</t>
  </si>
  <si>
    <t>Customer 012</t>
  </si>
  <si>
    <t>ORD10079</t>
  </si>
  <si>
    <t>ORD10383</t>
  </si>
  <si>
    <t>Customer 073</t>
  </si>
  <si>
    <t>ORD10170</t>
  </si>
  <si>
    <t>Customer 092</t>
  </si>
  <si>
    <t>ORD10299</t>
  </si>
  <si>
    <t>Customer 059</t>
  </si>
  <si>
    <t>Headphones</t>
  </si>
  <si>
    <t>ORD10320</t>
  </si>
  <si>
    <t>Customer 048</t>
  </si>
  <si>
    <t>ORD10397</t>
  </si>
  <si>
    <t>Customer 040</t>
  </si>
  <si>
    <t>ORD10371</t>
  </si>
  <si>
    <t>ORD10051</t>
  </si>
  <si>
    <t>Customer 085</t>
  </si>
  <si>
    <t>ORD10067</t>
  </si>
  <si>
    <t>Customer 058</t>
  </si>
  <si>
    <t>ORD10064</t>
  </si>
  <si>
    <t>Customer 061</t>
  </si>
  <si>
    <t>ORD10218</t>
  </si>
  <si>
    <t>Customer 047</t>
  </si>
  <si>
    <t>ORD10304</t>
  </si>
  <si>
    <t>ORD10181</t>
  </si>
  <si>
    <t>ORD10410</t>
  </si>
  <si>
    <t>Customer 051</t>
  </si>
  <si>
    <t>ORD10321</t>
  </si>
  <si>
    <t>Customer 083</t>
  </si>
  <si>
    <t>ORD10489</t>
  </si>
  <si>
    <t>Customer 064</t>
  </si>
  <si>
    <t>ORD10077</t>
  </si>
  <si>
    <t>ORD10276</t>
  </si>
  <si>
    <t>ORD10160</t>
  </si>
  <si>
    <t>Customer 070</t>
  </si>
  <si>
    <t>ORD10461</t>
  </si>
  <si>
    <t>ORD10492</t>
  </si>
  <si>
    <t>Customer 011</t>
  </si>
  <si>
    <t>ORD10002</t>
  </si>
  <si>
    <t>Customer 080</t>
  </si>
  <si>
    <t>ORD10379</t>
  </si>
  <si>
    <t>ORD10227</t>
  </si>
  <si>
    <t>Customer 030</t>
  </si>
  <si>
    <t>ORD10279</t>
  </si>
  <si>
    <t>Customer 063</t>
  </si>
  <si>
    <t>ORD10111</t>
  </si>
  <si>
    <t>Customer 015</t>
  </si>
  <si>
    <t>ORD10171</t>
  </si>
  <si>
    <t>Customer 001</t>
  </si>
  <si>
    <t>ORD10030</t>
  </si>
  <si>
    <t>ORD10169</t>
  </si>
  <si>
    <t>Customer 033</t>
  </si>
  <si>
    <t>ORD10084</t>
  </si>
  <si>
    <t>ORD10206</t>
  </si>
  <si>
    <t>ORD10310</t>
  </si>
  <si>
    <t>ORD10437</t>
  </si>
  <si>
    <t>Customer 025</t>
  </si>
  <si>
    <t>ORD10439</t>
  </si>
  <si>
    <t>Customer 017</t>
  </si>
  <si>
    <t>ORD10180</t>
  </si>
  <si>
    <t>Customer 009</t>
  </si>
  <si>
    <t>ORD10236</t>
  </si>
  <si>
    <t>Customer 052</t>
  </si>
  <si>
    <t>ORD10029</t>
  </si>
  <si>
    <t>ORD10466</t>
  </si>
  <si>
    <t>Customer 097</t>
  </si>
  <si>
    <t>ORD10307</t>
  </si>
  <si>
    <t>Customer 062</t>
  </si>
  <si>
    <t>ORD10449</t>
  </si>
  <si>
    <t>ORD10459</t>
  </si>
  <si>
    <t>ORD10219</t>
  </si>
  <si>
    <t>ORD10161</t>
  </si>
  <si>
    <t>ORD10353</t>
  </si>
  <si>
    <t>ORD10395</t>
  </si>
  <si>
    <t>Customer 087</t>
  </si>
  <si>
    <t>ORD10097</t>
  </si>
  <si>
    <t>ORD10382</t>
  </si>
  <si>
    <t>ORD10488</t>
  </si>
  <si>
    <t>Customer 013</t>
  </si>
  <si>
    <t>ORD10087</t>
  </si>
  <si>
    <t>ORD10179</t>
  </si>
  <si>
    <t>Customer 032</t>
  </si>
  <si>
    <t>ORD10403</t>
  </si>
  <si>
    <t>ORD10447</t>
  </si>
  <si>
    <t>Customer 065</t>
  </si>
  <si>
    <t>ORD10134</t>
  </si>
  <si>
    <t>Customer 023</t>
  </si>
  <si>
    <t>ORD10124</t>
  </si>
  <si>
    <t>ORD10121</t>
  </si>
  <si>
    <t>Customer 026</t>
  </si>
  <si>
    <t>ORD10142</t>
  </si>
  <si>
    <t>ORD10009</t>
  </si>
  <si>
    <t>Customer 044</t>
  </si>
  <si>
    <t>ORD10346</t>
  </si>
  <si>
    <t>ORD10044</t>
  </si>
  <si>
    <t>ORD10038</t>
  </si>
  <si>
    <t>Customer 037</t>
  </si>
  <si>
    <t>ORD10069</t>
  </si>
  <si>
    <t>ORD10199</t>
  </si>
  <si>
    <t>ORD10463</t>
  </si>
  <si>
    <t>Customer 008</t>
  </si>
  <si>
    <t>ORD10471</t>
  </si>
  <si>
    <t>ORD10362</t>
  </si>
  <si>
    <t>ORD10386</t>
  </si>
  <si>
    <t>ORD10332</t>
  </si>
  <si>
    <t>ORD10042</t>
  </si>
  <si>
    <t>Customer 069</t>
  </si>
  <si>
    <t>ORD10467</t>
  </si>
  <si>
    <t>Customer 090</t>
  </si>
  <si>
    <t>ORD10442</t>
  </si>
  <si>
    <t>Customer 006</t>
  </si>
  <si>
    <t>ORD10359</t>
  </si>
  <si>
    <t>ORD10409</t>
  </si>
  <si>
    <t>ORD10440</t>
  </si>
  <si>
    <t>ORD10239</t>
  </si>
  <si>
    <t>ORD10138</t>
  </si>
  <si>
    <t>Customer 019</t>
  </si>
  <si>
    <t>ORD10195</t>
  </si>
  <si>
    <t>Customer 027</t>
  </si>
  <si>
    <t>ORD10068</t>
  </si>
  <si>
    <t>Customer 043</t>
  </si>
  <si>
    <t>ORD10105</t>
  </si>
  <si>
    <t>Customer 007</t>
  </si>
  <si>
    <t>ORD10032</t>
  </si>
  <si>
    <t>Customer 071</t>
  </si>
  <si>
    <t>ORD10164</t>
  </si>
  <si>
    <t>ORD10400</t>
  </si>
  <si>
    <t>Customer 076</t>
  </si>
  <si>
    <t>ORD10098</t>
  </si>
  <si>
    <t>Customer 010</t>
  </si>
  <si>
    <t>ORD10490</t>
  </si>
  <si>
    <t>ORD10349</t>
  </si>
  <si>
    <t>ORD10131</t>
  </si>
  <si>
    <t>ORD10295</t>
  </si>
  <si>
    <t>ORD10200</t>
  </si>
  <si>
    <t>ORD10205</t>
  </si>
  <si>
    <t>Customer 005</t>
  </si>
  <si>
    <t>ORD10309</t>
  </si>
  <si>
    <t>ORD10472</t>
  </si>
  <si>
    <t>ORD10351</t>
  </si>
  <si>
    <t>Customer 053</t>
  </si>
  <si>
    <t>ORD10445</t>
  </si>
  <si>
    <t>ORD10075</t>
  </si>
  <si>
    <t>ORD10128</t>
  </si>
  <si>
    <t>ORD10057</t>
  </si>
  <si>
    <t>ORD10308</t>
  </si>
  <si>
    <t>ORD10074</t>
  </si>
  <si>
    <t>ORD10182</t>
  </si>
  <si>
    <t>ORD10107</t>
  </si>
  <si>
    <t>ORD10099</t>
  </si>
  <si>
    <t>ORD10480</t>
  </si>
  <si>
    <t>ORD10365</t>
  </si>
  <si>
    <t>Customer 016</t>
  </si>
  <si>
    <t>ORD10201</t>
  </si>
  <si>
    <t>ORD10113</t>
  </si>
  <si>
    <t>Customer 079</t>
  </si>
  <si>
    <t>ORD10025</t>
  </si>
  <si>
    <t>ORD10110</t>
  </si>
  <si>
    <t>ORD10337</t>
  </si>
  <si>
    <t>Customer 038</t>
  </si>
  <si>
    <t>ORD10240</t>
  </si>
  <si>
    <t>ORD10173</t>
  </si>
  <si>
    <t>ORD10495</t>
  </si>
  <si>
    <t>Customer 045</t>
  </si>
  <si>
    <t>ORD10451</t>
  </si>
  <si>
    <t>ORD10323</t>
  </si>
  <si>
    <t>ORD10408</t>
  </si>
  <si>
    <t>ORD10207</t>
  </si>
  <si>
    <t>ORD10060</t>
  </si>
  <si>
    <t>ORD10368</t>
  </si>
  <si>
    <t>ORD10327</t>
  </si>
  <si>
    <t>Customer 028</t>
  </si>
  <si>
    <t>ORD10228</t>
  </si>
  <si>
    <t>ORD10347</t>
  </si>
  <si>
    <t>ORD10162</t>
  </si>
  <si>
    <t>Customer 002</t>
  </si>
  <si>
    <t>ORD10452</t>
  </si>
  <si>
    <t>ORD10425</t>
  </si>
  <si>
    <t>ORD10420</t>
  </si>
  <si>
    <t>ORD10274</t>
  </si>
  <si>
    <t>ORD10172</t>
  </si>
  <si>
    <t>ORD10007</t>
  </si>
  <si>
    <t>Customer 077</t>
  </si>
  <si>
    <t>ORD10268</t>
  </si>
  <si>
    <t>ORD10122</t>
  </si>
  <si>
    <t>ORD10424</t>
  </si>
  <si>
    <t>Customer 067</t>
  </si>
  <si>
    <t>ORD10066</t>
  </si>
  <si>
    <t>ORD10157</t>
  </si>
  <si>
    <t>ORD10412</t>
  </si>
  <si>
    <t>ORD10430</t>
  </si>
  <si>
    <t>Customer 055</t>
  </si>
  <si>
    <t>ORD10455</t>
  </si>
  <si>
    <t>Customer 084</t>
  </si>
  <si>
    <t>ORD10318</t>
  </si>
  <si>
    <t>ORD10385</t>
  </si>
  <si>
    <t>ORD10243</t>
  </si>
  <si>
    <t>ORD10278</t>
  </si>
  <si>
    <t>ORD10176</t>
  </si>
  <si>
    <t>Customer 094</t>
  </si>
  <si>
    <t>ORD10357</t>
  </si>
  <si>
    <t>ORD10275</t>
  </si>
  <si>
    <t>ORD10118</t>
  </si>
  <si>
    <t>ORD10267</t>
  </si>
  <si>
    <t>ORD10441</t>
  </si>
  <si>
    <t>ORD10285</t>
  </si>
  <si>
    <t>ORD10474</t>
  </si>
  <si>
    <t>ORD10325</t>
  </si>
  <si>
    <t>ORD10073</t>
  </si>
  <si>
    <t>ORD10333</t>
  </si>
  <si>
    <t>ORD10177</t>
  </si>
  <si>
    <t>ORD10477</t>
  </si>
  <si>
    <t>Customer 049</t>
  </si>
  <si>
    <t>ORD10093</t>
  </si>
  <si>
    <t>ORD10086</t>
  </si>
  <si>
    <t>ORD10046</t>
  </si>
  <si>
    <t>ORD10178</t>
  </si>
  <si>
    <t>ORD10369</t>
  </si>
  <si>
    <t>ORD10367</t>
  </si>
  <si>
    <t>ORD10132</t>
  </si>
  <si>
    <t>ORD10210</t>
  </si>
  <si>
    <t>ORD10037</t>
  </si>
  <si>
    <t>ORD10289</t>
  </si>
  <si>
    <t>ORD10328</t>
  </si>
  <si>
    <t>ORD10232</t>
  </si>
  <si>
    <t>ORD10444</t>
  </si>
  <si>
    <t>ORD10448</t>
  </si>
  <si>
    <t>ORD10226</t>
  </si>
  <si>
    <t>ORD10140</t>
  </si>
  <si>
    <t>ORD10216</t>
  </si>
  <si>
    <t>ORD10249</t>
  </si>
  <si>
    <t>ORD10065</t>
  </si>
  <si>
    <t>ORD10076</t>
  </si>
  <si>
    <t>ORD10004</t>
  </si>
  <si>
    <t>Customer 054</t>
  </si>
  <si>
    <t>ORD10022</t>
  </si>
  <si>
    <t>ORD10331</t>
  </si>
  <si>
    <t>ORD10080</t>
  </si>
  <si>
    <t>ORD10422</t>
  </si>
  <si>
    <t>ORD10435</t>
  </si>
  <si>
    <t>ORD10211</t>
  </si>
  <si>
    <t>Customer 050</t>
  </si>
  <si>
    <t>ORD10100</t>
  </si>
  <si>
    <t>ORD10247</t>
  </si>
  <si>
    <t>ORD10283</t>
  </si>
  <si>
    <t>ORD10284</t>
  </si>
  <si>
    <t>ORD10139</t>
  </si>
  <si>
    <t>ORD10296</t>
  </si>
  <si>
    <t>ORD10006</t>
  </si>
  <si>
    <t>ORD10290</t>
  </si>
  <si>
    <t>ORD10088</t>
  </si>
  <si>
    <t>ORD10407</t>
  </si>
  <si>
    <t>ORD10208</t>
  </si>
  <si>
    <t>ORD10491</t>
  </si>
  <si>
    <t>ORD10264</t>
  </si>
  <si>
    <t>ORD10018</t>
  </si>
  <si>
    <t>ORD10373</t>
  </si>
  <si>
    <t>ORD10127</t>
  </si>
  <si>
    <t>ORD10102</t>
  </si>
  <si>
    <t>ORD10034</t>
  </si>
  <si>
    <t>ORD10036</t>
  </si>
  <si>
    <t>ORD10399</t>
  </si>
  <si>
    <t>ORD10401</t>
  </si>
  <si>
    <t>ORD10082</t>
  </si>
  <si>
    <t>ORD10254</t>
  </si>
  <si>
    <t>ORD10150</t>
  </si>
  <si>
    <t>ORD10432</t>
  </si>
  <si>
    <t>ORD10398</t>
  </si>
  <si>
    <t>ORD10498</t>
  </si>
  <si>
    <t>ORD10043</t>
  </si>
  <si>
    <t>ORD10151</t>
  </si>
  <si>
    <t>ORD10248</t>
  </si>
  <si>
    <t>ORD10056</t>
  </si>
  <si>
    <t>ORD10031</t>
  </si>
  <si>
    <t>ORD10241</t>
  </si>
  <si>
    <t>ORD10312</t>
  </si>
  <si>
    <t>ORD10271</t>
  </si>
  <si>
    <t>ORD10198</t>
  </si>
  <si>
    <t>ORD10149</t>
  </si>
  <si>
    <t>ORD10070</t>
  </si>
  <si>
    <t>ORD10416</t>
  </si>
  <si>
    <t>ORD10273</t>
  </si>
  <si>
    <t>ORD10484</t>
  </si>
  <si>
    <t>ORD10095</t>
  </si>
  <si>
    <t>ORD10120</t>
  </si>
  <si>
    <t>ORD10016</t>
  </si>
  <si>
    <t>ORD10253</t>
  </si>
  <si>
    <t>Customer 091</t>
  </si>
  <si>
    <t>ORD10147</t>
  </si>
  <si>
    <t>ORD10483</t>
  </si>
  <si>
    <t>ORD10263</t>
  </si>
  <si>
    <t>ORD10133</t>
  </si>
  <si>
    <t>ORD10419</t>
  </si>
  <si>
    <t>ORD10156</t>
  </si>
  <si>
    <t>ORD10421</t>
  </si>
  <si>
    <t>ORD10315</t>
  </si>
  <si>
    <t>ORD10394</t>
  </si>
  <si>
    <t>ORD10366</t>
  </si>
  <si>
    <t>ORD10330</t>
  </si>
  <si>
    <t>ORD10487</t>
  </si>
  <si>
    <t>ORD10152</t>
  </si>
  <si>
    <t>ORD10381</t>
  </si>
  <si>
    <t>ORD10402</t>
  </si>
  <si>
    <t>ORD10313</t>
  </si>
  <si>
    <t>ORD10103</t>
  </si>
  <si>
    <t>ORD10244</t>
  </si>
  <si>
    <t>ORD10017</t>
  </si>
  <si>
    <t>ORD10123</t>
  </si>
  <si>
    <t>ORD10317</t>
  </si>
  <si>
    <t>ORD10153</t>
  </si>
  <si>
    <t>ORD10414</t>
  </si>
  <si>
    <t>ORD10174</t>
  </si>
  <si>
    <t>ORD10468</t>
  </si>
  <si>
    <t>ORD10019</t>
  </si>
  <si>
    <t>ORD10159</t>
  </si>
  <si>
    <t>ORD10456</t>
  </si>
  <si>
    <t>Customer 056</t>
  </si>
  <si>
    <t>ORD10438</t>
  </si>
  <si>
    <t>ORD10433</t>
  </si>
  <si>
    <t>ORD10194</t>
  </si>
  <si>
    <t>ORD10204</t>
  </si>
  <si>
    <t>ORD10378</t>
  </si>
  <si>
    <t>ORD10293</t>
  </si>
  <si>
    <t>ORD10189</t>
  </si>
  <si>
    <t>ORD10047</t>
  </si>
  <si>
    <t>ORD10355</t>
  </si>
  <si>
    <t>ORD10406</t>
  </si>
  <si>
    <t>ORD10217</t>
  </si>
  <si>
    <t>ORD10364</t>
  </si>
  <si>
    <t>ORD10270</t>
  </si>
  <si>
    <t>ORD10305</t>
  </si>
  <si>
    <t>Customer 100</t>
  </si>
  <si>
    <t>ORD10144</t>
  </si>
  <si>
    <t>ORD10146</t>
  </si>
  <si>
    <t>ORD10493</t>
  </si>
  <si>
    <t>ORD10193</t>
  </si>
  <si>
    <t>Customer 095</t>
  </si>
  <si>
    <t>ORD10035</t>
  </si>
  <si>
    <t>ORD10391</t>
  </si>
  <si>
    <t>Customer 096</t>
  </si>
  <si>
    <t>ORD10242</t>
  </si>
  <si>
    <t>ORD10135</t>
  </si>
  <si>
    <t>ORD10345</t>
  </si>
  <si>
    <t>ORD10499</t>
  </si>
  <si>
    <t>ORD10229</t>
  </si>
  <si>
    <t>ORD10497</t>
  </si>
  <si>
    <t>ORD10168</t>
  </si>
  <si>
    <t>ORD10388</t>
  </si>
  <si>
    <t>ORD10116</t>
  </si>
  <si>
    <t>ORD10277</t>
  </si>
  <si>
    <t>ORD10361</t>
  </si>
  <si>
    <t>ORD10231</t>
  </si>
  <si>
    <t>ORD10292</t>
  </si>
  <si>
    <t>ORD10338</t>
  </si>
  <si>
    <t>ORD10003</t>
  </si>
  <si>
    <t>ORD10258</t>
  </si>
  <si>
    <t>Customer 034</t>
  </si>
  <si>
    <t>ORD10166</t>
  </si>
  <si>
    <t>ORD10372</t>
  </si>
  <si>
    <t>ORD10417</t>
  </si>
  <si>
    <t>ORD10215</t>
  </si>
  <si>
    <t>ORD10392</t>
  </si>
  <si>
    <t>ORD10326</t>
  </si>
  <si>
    <t>ORD10130</t>
  </si>
  <si>
    <t>ORD10375</t>
  </si>
  <si>
    <t>ORD10137</t>
  </si>
  <si>
    <t>ORD10119</t>
  </si>
  <si>
    <t>ORD10475</t>
  </si>
  <si>
    <t>ORD10344</t>
  </si>
  <si>
    <t>ORD10213</t>
  </si>
  <si>
    <t>ORD10186</t>
  </si>
  <si>
    <t>ORD10165</t>
  </si>
  <si>
    <t>ORD10281</t>
  </si>
  <si>
    <t>ORD10167</t>
  </si>
  <si>
    <t>ORD10350</t>
  </si>
  <si>
    <t>ORD10297</t>
  </si>
  <si>
    <t>ORD10291</t>
  </si>
  <si>
    <t>ORD10008</t>
  </si>
  <si>
    <t>ORD10288</t>
  </si>
  <si>
    <t>ORD10063</t>
  </si>
  <si>
    <t>ORD10028</t>
  </si>
  <si>
    <t>ORD10436</t>
  </si>
  <si>
    <t>ORD10145</t>
  </si>
  <si>
    <t>Customer 024</t>
  </si>
  <si>
    <t>ORD10184</t>
  </si>
  <si>
    <t>ORD10360</t>
  </si>
  <si>
    <t>ORD10026</t>
  </si>
  <si>
    <t>ORD10460</t>
  </si>
  <si>
    <t>ORD10136</t>
  </si>
  <si>
    <t>ORD10190</t>
  </si>
  <si>
    <t>ORD10013</t>
  </si>
  <si>
    <t>ORD10427</t>
  </si>
  <si>
    <t>ORD10426</t>
  </si>
  <si>
    <t>ORD10106</t>
  </si>
  <si>
    <t>ORD10163</t>
  </si>
  <si>
    <t>ORD10053</t>
  </si>
  <si>
    <t>ORD10096</t>
  </si>
  <si>
    <t>Customer 060</t>
  </si>
  <si>
    <t>ORD10396</t>
  </si>
  <si>
    <t>ORD10454</t>
  </si>
  <si>
    <t>ORD10085</t>
  </si>
  <si>
    <t>ORD10245</t>
  </si>
  <si>
    <t>ORD10125</t>
  </si>
  <si>
    <t>ORD10294</t>
  </si>
  <si>
    <t>ORD10155</t>
  </si>
  <si>
    <t>ORD10233</t>
  </si>
  <si>
    <t>ORD10049</t>
  </si>
  <si>
    <t>ORD10012</t>
  </si>
  <si>
    <t>ORD10251</t>
  </si>
  <si>
    <t>ORD10303</t>
  </si>
  <si>
    <t>ORD10450</t>
  </si>
  <si>
    <t>ORD10109</t>
  </si>
  <si>
    <t>ORD10473</t>
  </si>
  <si>
    <t>ORD10108</t>
  </si>
  <si>
    <t>ORD10434</t>
  </si>
  <si>
    <t>ORD10380</t>
  </si>
  <si>
    <t>ORD10335</t>
  </si>
  <si>
    <t>ORD10220</t>
  </si>
  <si>
    <t>ORD10221</t>
  </si>
  <si>
    <t>ORD10469</t>
  </si>
  <si>
    <t>ORD10021</t>
  </si>
  <si>
    <t>ORD10104</t>
  </si>
  <si>
    <t>ORD10192</t>
  </si>
  <si>
    <t>ORD10091</t>
  </si>
  <si>
    <t>ORD10246</t>
  </si>
  <si>
    <t>ORD10050</t>
  </si>
  <si>
    <t>ORD10094</t>
  </si>
  <si>
    <t>ORD10280</t>
  </si>
  <si>
    <t>ORD10252</t>
  </si>
  <si>
    <t>ORD10302</t>
  </si>
  <si>
    <t>ORD10058</t>
  </si>
  <si>
    <t>ORD10500</t>
  </si>
  <si>
    <t>ORD10261</t>
  </si>
  <si>
    <t>ORD10001</t>
  </si>
  <si>
    <t>ORD10262</t>
  </si>
  <si>
    <t>ORD10112</t>
  </si>
  <si>
    <t>ORD10384</t>
  </si>
  <si>
    <t>ORD10048</t>
  </si>
  <si>
    <t>ORD10212</t>
  </si>
  <si>
    <t>ORD10187</t>
  </si>
  <si>
    <t>ORD10269</t>
  </si>
  <si>
    <t>ORD10311</t>
  </si>
  <si>
    <t>ORD10478</t>
  </si>
  <si>
    <t>ORD10052</t>
  </si>
  <si>
    <t>ORD10324</t>
  </si>
  <si>
    <t>ORD10158</t>
  </si>
  <si>
    <t>ORD10306</t>
  </si>
  <si>
    <t>ORD10188</t>
  </si>
  <si>
    <t>ORD10301</t>
  </si>
  <si>
    <t>ORD10089</t>
  </si>
  <si>
    <t>ORD10072</t>
  </si>
  <si>
    <t>ORD10256</t>
  </si>
  <si>
    <t>ORD10257</t>
  </si>
  <si>
    <t>ORD10272</t>
  </si>
  <si>
    <t>ORD10055</t>
  </si>
  <si>
    <t>ORD10191</t>
  </si>
  <si>
    <t>ORD10033</t>
  </si>
  <si>
    <t>ORD10237</t>
  </si>
  <si>
    <t>ORD10005</t>
  </si>
  <si>
    <t>ORD10374</t>
  </si>
  <si>
    <t>ORD10476</t>
  </si>
  <si>
    <t>ORD10322</t>
  </si>
  <si>
    <t>ORD10482</t>
  </si>
  <si>
    <t>ORD10431</t>
  </si>
  <si>
    <t>ORD10462</t>
  </si>
  <si>
    <t>ORD10286</t>
  </si>
  <si>
    <t>ORD10343</t>
  </si>
  <si>
    <t>ORD10428</t>
  </si>
  <si>
    <t>ORD10404</t>
  </si>
  <si>
    <t>ORD10154</t>
  </si>
  <si>
    <t>ORD10115</t>
  </si>
  <si>
    <t>ORD10117</t>
  </si>
  <si>
    <t>ORD10054</t>
  </si>
  <si>
    <t>ORD10376</t>
  </si>
  <si>
    <t>ORD10062</t>
  </si>
  <si>
    <t>ORD10020</t>
  </si>
  <si>
    <t>ORD10363</t>
  </si>
  <si>
    <t>ORD10479</t>
  </si>
  <si>
    <t>ORD10429</t>
  </si>
  <si>
    <t>ORD10185</t>
  </si>
  <si>
    <t>ORD10214</t>
  </si>
  <si>
    <t>ORD10141</t>
  </si>
  <si>
    <t>ORD10411</t>
  </si>
  <si>
    <t>ORD10352</t>
  </si>
  <si>
    <t>ORD10265</t>
  </si>
  <si>
    <t>ORD10485</t>
  </si>
  <si>
    <t>ORD10024</t>
  </si>
  <si>
    <t>ORD10081</t>
  </si>
  <si>
    <t>ORD10423</t>
  </si>
  <si>
    <t>ORD10405</t>
  </si>
  <si>
    <t>ORD10465</t>
  </si>
  <si>
    <t>ORD10339</t>
  </si>
  <si>
    <t>ORD10225</t>
  </si>
  <si>
    <t>ORD10059</t>
  </si>
  <si>
    <t>ORD10015</t>
  </si>
  <si>
    <t>ORD10238</t>
  </si>
  <si>
    <t>ORD10446</t>
  </si>
  <si>
    <t>ORD10481</t>
  </si>
  <si>
    <t>ORD10235</t>
  </si>
  <si>
    <t>ORD10101</t>
  </si>
  <si>
    <t>ORD10014</t>
  </si>
  <si>
    <t>ORD10203</t>
  </si>
  <si>
    <t>ORD10078</t>
  </si>
  <si>
    <t>ORD10266</t>
  </si>
  <si>
    <t>ORD10039</t>
  </si>
  <si>
    <t>ORD10393</t>
  </si>
  <si>
    <t>ORD10061</t>
  </si>
  <si>
    <t>ORD10230</t>
  </si>
  <si>
    <t>ORD10457</t>
  </si>
  <si>
    <t>ORD10148</t>
  </si>
  <si>
    <t>Customer 036</t>
  </si>
  <si>
    <t>ORD10011</t>
  </si>
  <si>
    <t>ORD10023</t>
  </si>
  <si>
    <t>ORD10496</t>
  </si>
  <si>
    <t>ORD10196</t>
  </si>
  <si>
    <t>ORD10197</t>
  </si>
  <si>
    <t>ORD10092</t>
  </si>
  <si>
    <t>ORD10298</t>
  </si>
  <si>
    <t>ORD10045</t>
  </si>
  <si>
    <t>ORD10250</t>
  </si>
  <si>
    <t>ORD10300</t>
  </si>
  <si>
    <t>ORD10083</t>
  </si>
  <si>
    <t>ORD10464</t>
  </si>
  <si>
    <t>ORD10222</t>
  </si>
  <si>
    <t>ORD10418</t>
  </si>
  <si>
    <t>ORD10453</t>
  </si>
  <si>
    <t>ORD10255</t>
  </si>
  <si>
    <t>ORD10223</t>
  </si>
  <si>
    <t>ORD10314</t>
  </si>
  <si>
    <t>ORD10341</t>
  </si>
  <si>
    <t>ORD10413</t>
  </si>
  <si>
    <t>Customer 029</t>
  </si>
  <si>
    <t>ORD10470</t>
  </si>
  <si>
    <t>ORD10114</t>
  </si>
  <si>
    <t>ORD10443</t>
  </si>
  <si>
    <t>ORD10377</t>
  </si>
  <si>
    <t>ORD10234</t>
  </si>
  <si>
    <t>ORD10287</t>
  </si>
  <si>
    <t>ORD10010</t>
  </si>
  <si>
    <t>ORD10329</t>
  </si>
  <si>
    <t>ORD10340</t>
  </si>
  <si>
    <t>ORD10486</t>
  </si>
  <si>
    <t>ORD10494</t>
  </si>
  <si>
    <t>ORD10334</t>
  </si>
  <si>
    <t>ORD10458</t>
  </si>
  <si>
    <t>Row Labels</t>
  </si>
  <si>
    <t>Grand Total</t>
  </si>
  <si>
    <t>Sum of Sales</t>
  </si>
  <si>
    <t>Sum of Profit</t>
  </si>
  <si>
    <t>Jan</t>
  </si>
  <si>
    <t>Feb</t>
  </si>
  <si>
    <t>Mar</t>
  </si>
  <si>
    <t>Apr</t>
  </si>
  <si>
    <t>May</t>
  </si>
  <si>
    <t>Jun</t>
  </si>
  <si>
    <t>Jul</t>
  </si>
  <si>
    <t>Aug</t>
  </si>
  <si>
    <t>Sep</t>
  </si>
  <si>
    <t>Oct</t>
  </si>
  <si>
    <t>Nov</t>
  </si>
  <si>
    <t>Dec</t>
  </si>
  <si>
    <t/>
  </si>
  <si>
    <t>value filter</t>
  </si>
  <si>
    <t>SALES &amp; PROFIT DASHBOARD</t>
  </si>
  <si>
    <t>TOTAL SALES</t>
  </si>
  <si>
    <t>TOTAL PROFIT</t>
  </si>
  <si>
    <t>TOTAL ORDERS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</si>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</sst>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5"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2" fillId="0" borderId="0" xfId="0" applyFont="1"/>
  </cellXfs>
  <cellStyles count="1">
    <cellStyle name="Normal" xfId="0" builtinId="0"/>
  </cellStyles>
  <dxfs count="4">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[Sales_Dashboard.xlsx]Sheet4!PivotTable3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12385.660000000002</c:v>
                </c:pt>
                <c:pt idx="1">
                  <c:v>21374.81</c:v>
                </c:pt>
                <c:pt idx="2">
                  <c:v>38157.339999999997</c:v>
                </c:pt>
                <c:pt idx="3">
                  <c:v>25883.200000000001</c:v>
                </c:pt>
                <c:pt idx="4">
                  <c:v>29913.330000000009</c:v>
                </c:pt>
                <c:pt idx="5">
                  <c:v>15293.029999999999</c:v>
                </c:pt>
                <c:pt idx="6">
                  <c:v>15240.369999999997</c:v>
                </c:pt>
                <c:pt idx="7">
                  <c:v>16901.66</c:v>
                </c:pt>
                <c:pt idx="8">
                  <c:v>21876.050000000003</c:v>
                </c:pt>
                <c:pt idx="9">
                  <c:v>8309.0400000000009</c:v>
                </c:pt>
                <c:pt idx="10">
                  <c:v>20073.350000000002</c:v>
                </c:pt>
                <c:pt idx="11">
                  <c:v>23277.449999999997</c:v>
                </c:pt>
              </c:numCache>
            </c:numRef>
          </c:val>
          <c:extLst>
            <c:ext xmlns:c16="http://schemas.microsoft.com/office/drawing/2014/chart" uri="{C3380CC4-5D6E-409C-BE32-E72D297353CC}">
              <c16:uniqueId val="{00000000-4F25-4F0D-8417-E4608AC02585}"/>
            </c:ext>
          </c:extLst>
        </c:ser>
        <c:dLbls>
          <c:showLegendKey val="0"/>
          <c:showVal val="0"/>
          <c:showCatName val="0"/>
          <c:showSerName val="0"/>
          <c:showPercent val="0"/>
          <c:showBubbleSize val="0"/>
        </c:dLbls>
        <c:gapWidth val="219"/>
        <c:overlap val="-27"/>
        <c:axId val="794772719"/>
        <c:axId val="706846031"/>
      </c:barChart>
      <c:catAx>
        <c:axId val="79477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46031"/>
        <c:crosses val="autoZero"/>
        <c:auto val="1"/>
        <c:lblAlgn val="ctr"/>
        <c:lblOffset val="100"/>
        <c:noMultiLvlLbl val="0"/>
      </c:catAx>
      <c:valAx>
        <c:axId val="70684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Monthly Sales Trend</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77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248685.29000000007</c:v>
                </c:pt>
                <c:pt idx="1">
                  <c:v>239650.93999999997</c:v>
                </c:pt>
                <c:pt idx="2">
                  <c:v>168660.02000000002</c:v>
                </c:pt>
                <c:pt idx="3">
                  <c:v>195042.20000000007</c:v>
                </c:pt>
              </c:numCache>
            </c:numRef>
          </c:val>
          <c:extLst>
            <c:ext xmlns:c16="http://schemas.microsoft.com/office/drawing/2014/chart" uri="{C3380CC4-5D6E-409C-BE32-E72D297353CC}">
              <c16:uniqueId val="{00000000-E388-482B-AEC6-042F2F3CC4AA}"/>
            </c:ext>
          </c:extLst>
        </c:ser>
        <c:ser>
          <c:idx val="1"/>
          <c:order val="1"/>
          <c:tx>
            <c:strRef>
              <c:f>Sheet2!$C$3</c:f>
              <c:strCache>
                <c:ptCount val="1"/>
                <c:pt idx="0">
                  <c:v>Sum of Profit</c:v>
                </c:pt>
              </c:strCache>
            </c:strRef>
          </c:tx>
          <c:spPr>
            <a:solidFill>
              <a:schemeClr val="accent2"/>
            </a:solidFill>
            <a:ln>
              <a:noFill/>
            </a:ln>
            <a:effectLst/>
          </c:spPr>
          <c:invertIfNegative val="0"/>
          <c:cat>
            <c:strRef>
              <c:f>Sheet2!$A$4:$A$8</c:f>
              <c:strCache>
                <c:ptCount val="4"/>
                <c:pt idx="0">
                  <c:v>East</c:v>
                </c:pt>
                <c:pt idx="1">
                  <c:v>North</c:v>
                </c:pt>
                <c:pt idx="2">
                  <c:v>South</c:v>
                </c:pt>
                <c:pt idx="3">
                  <c:v>West</c:v>
                </c:pt>
              </c:strCache>
            </c:strRef>
          </c:cat>
          <c:val>
            <c:numRef>
              <c:f>Sheet2!$C$4:$C$8</c:f>
              <c:numCache>
                <c:formatCode>General</c:formatCode>
                <c:ptCount val="4"/>
                <c:pt idx="0">
                  <c:v>48820.56</c:v>
                </c:pt>
                <c:pt idx="1">
                  <c:v>39301.48000000001</c:v>
                </c:pt>
                <c:pt idx="2">
                  <c:v>31036.320000000014</c:v>
                </c:pt>
                <c:pt idx="3">
                  <c:v>42272.419999999984</c:v>
                </c:pt>
              </c:numCache>
            </c:numRef>
          </c:val>
          <c:extLst>
            <c:ext xmlns:c16="http://schemas.microsoft.com/office/drawing/2014/chart" uri="{C3380CC4-5D6E-409C-BE32-E72D297353CC}">
              <c16:uniqueId val="{00000001-E388-482B-AEC6-042F2F3CC4AA}"/>
            </c:ext>
          </c:extLst>
        </c:ser>
        <c:dLbls>
          <c:showLegendKey val="0"/>
          <c:showVal val="0"/>
          <c:showCatName val="0"/>
          <c:showSerName val="0"/>
          <c:showPercent val="0"/>
          <c:showBubbleSize val="0"/>
        </c:dLbls>
        <c:gapWidth val="219"/>
        <c:overlap val="-27"/>
        <c:axId val="796909439"/>
        <c:axId val="485729519"/>
      </c:barChart>
      <c:catAx>
        <c:axId val="79690943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29519"/>
        <c:crosses val="autoZero"/>
        <c:auto val="1"/>
        <c:lblAlgn val="ctr"/>
        <c:lblOffset val="100"/>
        <c:noMultiLvlLbl val="0"/>
      </c:catAx>
      <c:valAx>
        <c:axId val="485729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b="1"/>
                  <a:t>Sales by Region</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90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[Sales_Dashboard.xlsx]Sheet5!PivotTable4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Sales</c:v>
                </c:pt>
              </c:strCache>
            </c:strRef>
          </c:tx>
          <c:spPr>
            <a:solidFill>
              <a:schemeClr val="accent1"/>
            </a:solidFill>
            <a:ln>
              <a:noFill/>
            </a:ln>
            <a:effectLst/>
          </c:spPr>
          <c:invertIfNegative val="0"/>
          <c:cat>
            <c:strRef>
              <c:f>Sheet5!$A$4:$A$7</c:f>
              <c:strCache>
                <c:ptCount val="3"/>
                <c:pt idx="0">
                  <c:v>Accessories</c:v>
                </c:pt>
                <c:pt idx="1">
                  <c:v>Electronics</c:v>
                </c:pt>
                <c:pt idx="2">
                  <c:v>Office</c:v>
                </c:pt>
              </c:strCache>
            </c:strRef>
          </c:cat>
          <c:val>
            <c:numRef>
              <c:f>Sheet5!$B$4:$B$7</c:f>
              <c:numCache>
                <c:formatCode>General</c:formatCode>
                <c:ptCount val="3"/>
                <c:pt idx="0">
                  <c:v>104168.73000000003</c:v>
                </c:pt>
                <c:pt idx="1">
                  <c:v>663971.88000000024</c:v>
                </c:pt>
                <c:pt idx="2">
                  <c:v>83897.840000000011</c:v>
                </c:pt>
              </c:numCache>
            </c:numRef>
          </c:val>
          <c:extLst>
            <c:ext xmlns:c16="http://schemas.microsoft.com/office/drawing/2014/chart" uri="{C3380CC4-5D6E-409C-BE32-E72D297353CC}">
              <c16:uniqueId val="{00000000-9F0A-4CA9-B28B-A016DCDD29BB}"/>
            </c:ext>
          </c:extLst>
        </c:ser>
        <c:ser>
          <c:idx val="1"/>
          <c:order val="1"/>
          <c:tx>
            <c:strRef>
              <c:f>Sheet5!$C$3</c:f>
              <c:strCache>
                <c:ptCount val="1"/>
                <c:pt idx="0">
                  <c:v>Sum of Profit</c:v>
                </c:pt>
              </c:strCache>
            </c:strRef>
          </c:tx>
          <c:spPr>
            <a:solidFill>
              <a:schemeClr val="accent2"/>
            </a:solidFill>
            <a:ln>
              <a:noFill/>
            </a:ln>
            <a:effectLst/>
          </c:spPr>
          <c:invertIfNegative val="0"/>
          <c:cat>
            <c:strRef>
              <c:f>Sheet5!$A$4:$A$7</c:f>
              <c:strCache>
                <c:ptCount val="3"/>
                <c:pt idx="0">
                  <c:v>Accessories</c:v>
                </c:pt>
                <c:pt idx="1">
                  <c:v>Electronics</c:v>
                </c:pt>
                <c:pt idx="2">
                  <c:v>Office</c:v>
                </c:pt>
              </c:strCache>
            </c:strRef>
          </c:cat>
          <c:val>
            <c:numRef>
              <c:f>Sheet5!$C$4:$C$7</c:f>
              <c:numCache>
                <c:formatCode>General</c:formatCode>
                <c:ptCount val="3"/>
                <c:pt idx="0">
                  <c:v>19789.340000000018</c:v>
                </c:pt>
                <c:pt idx="1">
                  <c:v>124720.25000000001</c:v>
                </c:pt>
                <c:pt idx="2">
                  <c:v>16921.190000000006</c:v>
                </c:pt>
              </c:numCache>
            </c:numRef>
          </c:val>
          <c:extLst>
            <c:ext xmlns:c16="http://schemas.microsoft.com/office/drawing/2014/chart" uri="{C3380CC4-5D6E-409C-BE32-E72D297353CC}">
              <c16:uniqueId val="{00000001-9F0A-4CA9-B28B-A016DCDD29BB}"/>
            </c:ext>
          </c:extLst>
        </c:ser>
        <c:dLbls>
          <c:showLegendKey val="0"/>
          <c:showVal val="0"/>
          <c:showCatName val="0"/>
          <c:showSerName val="0"/>
          <c:showPercent val="0"/>
          <c:showBubbleSize val="0"/>
        </c:dLbls>
        <c:gapWidth val="219"/>
        <c:overlap val="-27"/>
        <c:axId val="1665075487"/>
        <c:axId val="485717519"/>
      </c:barChart>
      <c:catAx>
        <c:axId val="166507548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17519"/>
        <c:crosses val="autoZero"/>
        <c:auto val="1"/>
        <c:lblAlgn val="ctr"/>
        <c:lblOffset val="100"/>
        <c:noMultiLvlLbl val="0"/>
      </c:catAx>
      <c:valAx>
        <c:axId val="48571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by Category</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7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[Sales_Dashboard.xlsx]Sheet6!PivotTable5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Sum of Sales</c:v>
                </c:pt>
              </c:strCache>
            </c:strRef>
          </c:tx>
          <c:spPr>
            <a:solidFill>
              <a:schemeClr val="accent1"/>
            </a:solidFill>
            <a:ln>
              <a:noFill/>
            </a:ln>
            <a:effectLst/>
          </c:spPr>
          <c:invertIfNegative val="0"/>
          <c:cat>
            <c:strRef>
              <c:f>Sheet6!$A$4:$A$12</c:f>
              <c:strCache>
                <c:ptCount val="8"/>
                <c:pt idx="0">
                  <c:v>Mouse</c:v>
                </c:pt>
                <c:pt idx="1">
                  <c:v>Keyboard</c:v>
                </c:pt>
                <c:pt idx="2">
                  <c:v>Headphones</c:v>
                </c:pt>
                <c:pt idx="3">
                  <c:v>Webcam</c:v>
                </c:pt>
                <c:pt idx="4">
                  <c:v>Monitor</c:v>
                </c:pt>
                <c:pt idx="5">
                  <c:v>Printer</c:v>
                </c:pt>
                <c:pt idx="6">
                  <c:v>Tablet</c:v>
                </c:pt>
                <c:pt idx="7">
                  <c:v>Laptop</c:v>
                </c:pt>
              </c:strCache>
            </c:strRef>
          </c:cat>
          <c:val>
            <c:numRef>
              <c:f>Sheet6!$B$4:$B$12</c:f>
              <c:numCache>
                <c:formatCode>General</c:formatCode>
                <c:ptCount val="8"/>
                <c:pt idx="0">
                  <c:v>15316.559999999998</c:v>
                </c:pt>
                <c:pt idx="1">
                  <c:v>17932.329999999991</c:v>
                </c:pt>
                <c:pt idx="2">
                  <c:v>31211.420000000006</c:v>
                </c:pt>
                <c:pt idx="3">
                  <c:v>39708.419999999991</c:v>
                </c:pt>
                <c:pt idx="4">
                  <c:v>68300.28</c:v>
                </c:pt>
                <c:pt idx="5">
                  <c:v>83897.840000000011</c:v>
                </c:pt>
                <c:pt idx="6">
                  <c:v>187258.86000000004</c:v>
                </c:pt>
                <c:pt idx="7">
                  <c:v>408412.73999999987</c:v>
                </c:pt>
              </c:numCache>
            </c:numRef>
          </c:val>
          <c:extLst>
            <c:ext xmlns:c16="http://schemas.microsoft.com/office/drawing/2014/chart" uri="{C3380CC4-5D6E-409C-BE32-E72D297353CC}">
              <c16:uniqueId val="{00000000-422E-4CC2-AE40-6EE5EF7C3D2D}"/>
            </c:ext>
          </c:extLst>
        </c:ser>
        <c:ser>
          <c:idx val="1"/>
          <c:order val="1"/>
          <c:tx>
            <c:strRef>
              <c:f>Sheet6!$C$3</c:f>
              <c:strCache>
                <c:ptCount val="1"/>
                <c:pt idx="0">
                  <c:v>Sum of Profit</c:v>
                </c:pt>
              </c:strCache>
            </c:strRef>
          </c:tx>
          <c:spPr>
            <a:solidFill>
              <a:schemeClr val="accent2"/>
            </a:solidFill>
            <a:ln>
              <a:noFill/>
            </a:ln>
            <a:effectLst/>
          </c:spPr>
          <c:invertIfNegative val="0"/>
          <c:cat>
            <c:strRef>
              <c:f>Sheet6!$A$4:$A$12</c:f>
              <c:strCache>
                <c:ptCount val="8"/>
                <c:pt idx="0">
                  <c:v>Mouse</c:v>
                </c:pt>
                <c:pt idx="1">
                  <c:v>Keyboard</c:v>
                </c:pt>
                <c:pt idx="2">
                  <c:v>Headphones</c:v>
                </c:pt>
                <c:pt idx="3">
                  <c:v>Webcam</c:v>
                </c:pt>
                <c:pt idx="4">
                  <c:v>Monitor</c:v>
                </c:pt>
                <c:pt idx="5">
                  <c:v>Printer</c:v>
                </c:pt>
                <c:pt idx="6">
                  <c:v>Tablet</c:v>
                </c:pt>
                <c:pt idx="7">
                  <c:v>Laptop</c:v>
                </c:pt>
              </c:strCache>
            </c:strRef>
          </c:cat>
          <c:val>
            <c:numRef>
              <c:f>Sheet6!$C$4:$C$12</c:f>
              <c:numCache>
                <c:formatCode>General</c:formatCode>
                <c:ptCount val="8"/>
                <c:pt idx="0">
                  <c:v>2835.3899999999981</c:v>
                </c:pt>
                <c:pt idx="1">
                  <c:v>3504.4700000000003</c:v>
                </c:pt>
                <c:pt idx="2">
                  <c:v>5832.46</c:v>
                </c:pt>
                <c:pt idx="3">
                  <c:v>7617.02</c:v>
                </c:pt>
                <c:pt idx="4">
                  <c:v>12800.810000000003</c:v>
                </c:pt>
                <c:pt idx="5">
                  <c:v>16921.190000000006</c:v>
                </c:pt>
                <c:pt idx="6">
                  <c:v>32401.939999999988</c:v>
                </c:pt>
                <c:pt idx="7">
                  <c:v>79517.500000000015</c:v>
                </c:pt>
              </c:numCache>
            </c:numRef>
          </c:val>
          <c:extLst>
            <c:ext xmlns:c16="http://schemas.microsoft.com/office/drawing/2014/chart" uri="{C3380CC4-5D6E-409C-BE32-E72D297353CC}">
              <c16:uniqueId val="{00000001-422E-4CC2-AE40-6EE5EF7C3D2D}"/>
            </c:ext>
          </c:extLst>
        </c:ser>
        <c:dLbls>
          <c:showLegendKey val="0"/>
          <c:showVal val="0"/>
          <c:showCatName val="0"/>
          <c:showSerName val="0"/>
          <c:showPercent val="0"/>
          <c:showBubbleSize val="0"/>
        </c:dLbls>
        <c:gapWidth val="182"/>
        <c:axId val="1665067599"/>
        <c:axId val="545641647"/>
      </c:barChart>
      <c:catAx>
        <c:axId val="16650675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Top Products by Sales</a:t>
                </a:r>
              </a:p>
              <a:p>
                <a:pPr>
                  <a:defRPr/>
                </a:pPr>
                <a:endParaRPr lang="en-IN"/>
              </a:p>
            </c:rich>
          </c:tx>
          <c:layout>
            <c:manualLayout>
              <c:xMode val="edge"/>
              <c:yMode val="edge"/>
              <c:x val="0.15972222222222221"/>
              <c:y val="9.7039588801399804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641647"/>
        <c:crosses val="autoZero"/>
        <c:auto val="1"/>
        <c:lblAlgn val="ctr"/>
        <c:lblOffset val="100"/>
        <c:noMultiLvlLbl val="0"/>
      </c:catAx>
      <c:valAx>
        <c:axId val="545641647"/>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6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51837</xdr:colOff>
      <xdr:row>16</xdr:row>
      <xdr:rowOff>142551</xdr:rowOff>
    </xdr:from>
    <xdr:to>
      <xdr:col>7</xdr:col>
      <xdr:colOff>220307</xdr:colOff>
      <xdr:row>29</xdr:row>
      <xdr:rowOff>12959</xdr:rowOff>
    </xdr:to>
    <xdr:graphicFrame macro="">
      <xdr:nvGraphicFramePr>
        <xdr:cNvPr id="2" name="Chart 1">
          <a:extLst>
            <a:ext uri="{FF2B5EF4-FFF2-40B4-BE49-F238E27FC236}">
              <a16:creationId xmlns:a16="http://schemas.microsoft.com/office/drawing/2014/main" id="{C91162DB-4C1A-4911-B0C9-DFBF2EE98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207347</xdr:colOff>
      <xdr:row>15</xdr:row>
      <xdr:rowOff>90715</xdr:rowOff>
    </xdr:from>
    <xdr:to>
      <xdr:col>30</xdr:col>
      <xdr:colOff>512147</xdr:colOff>
      <xdr:row>30</xdr:row>
      <xdr:rowOff>74387</xdr:rowOff>
    </xdr:to>
    <xdr:graphicFrame macro="">
      <xdr:nvGraphicFramePr>
        <xdr:cNvPr id="3" name="Chart 2">
          <a:extLst>
            <a:ext uri="{FF2B5EF4-FFF2-40B4-BE49-F238E27FC236}">
              <a16:creationId xmlns:a16="http://schemas.microsoft.com/office/drawing/2014/main" id="{2D91DEBE-7AF9-49C6-999F-FA6FBE9F3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586922</xdr:colOff>
      <xdr:row>16</xdr:row>
      <xdr:rowOff>134387</xdr:rowOff>
    </xdr:from>
    <xdr:to>
      <xdr:col>23</xdr:col>
      <xdr:colOff>92139</xdr:colOff>
      <xdr:row>29</xdr:row>
      <xdr:rowOff>77236</xdr:rowOff>
    </xdr:to>
    <xdr:graphicFrame macro="">
      <xdr:nvGraphicFramePr>
        <xdr:cNvPr id="4" name="Chart 3">
          <a:extLst>
            <a:ext uri="{FF2B5EF4-FFF2-40B4-BE49-F238E27FC236}">
              <a16:creationId xmlns:a16="http://schemas.microsoft.com/office/drawing/2014/main" id="{B1D5BDD5-01A6-42FC-BB74-C1B4B8192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595086</xdr:colOff>
      <xdr:row>16</xdr:row>
      <xdr:rowOff>174042</xdr:rowOff>
    </xdr:from>
    <xdr:to>
      <xdr:col>15</xdr:col>
      <xdr:colOff>297154</xdr:colOff>
      <xdr:row>29</xdr:row>
      <xdr:rowOff>142291</xdr:rowOff>
    </xdr:to>
    <xdr:graphicFrame macro="">
      <xdr:nvGraphicFramePr>
        <xdr:cNvPr id="5" name="Chart 4">
          <a:extLst>
            <a:ext uri="{FF2B5EF4-FFF2-40B4-BE49-F238E27FC236}">
              <a16:creationId xmlns:a16="http://schemas.microsoft.com/office/drawing/2014/main" id="{7B8765F4-EFFA-4631-8197-831CD13E8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145532</xdr:colOff>
      <xdr:row>1</xdr:row>
      <xdr:rowOff>51577</xdr:rowOff>
    </xdr:from>
    <xdr:to>
      <xdr:col>13</xdr:col>
      <xdr:colOff>145532</xdr:colOff>
      <xdr:row>15</xdr:row>
      <xdr:rowOff>323</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EE3EAF07-F431-8DCD-769C-30FF9A07C1F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36348" y="233006"/>
              <a:ext cx="1827245" cy="2488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201386</xdr:colOff>
      <xdr:row>0</xdr:row>
      <xdr:rowOff>171709</xdr:rowOff>
    </xdr:from>
    <xdr:to>
      <xdr:col>17</xdr:col>
      <xdr:colOff>201386</xdr:colOff>
      <xdr:row>14</xdr:row>
      <xdr:rowOff>117734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9AF0270-0693-BB2A-2A36-722D143A4C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28529" y="171709"/>
              <a:ext cx="1827245"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sri palla" refreshedDate="46249.500579282409" createdVersion="8" refreshedVersion="8" minRefreshableVersion="3" recordCount="500" xr:uid="{E699D087-9DC7-448D-B6F4-2F8DD56E2B30}">
  <cacheSource type="worksheet">
    <worksheetSource name="Table1"/>
  </cacheSource>
  <cacheFields count="12">
    <cacheField name="Order ID" numFmtId="0">
      <sharedItems/>
    </cacheField>
    <cacheField name="Order Date" numFmtId="165">
      <sharedItems containsSemiMixedTypes="0" containsNonDate="0" containsDate="1" containsString="0" minDate="2025-01-03T00:00:00" maxDate="2026-01-01T00:00:00" count="273">
        <d v="2025-01-03T00:00:00"/>
        <d v="2025-01-04T00:00:00"/>
        <d v="2025-01-05T00:00:00"/>
        <d v="2025-01-07T00:00:00"/>
        <d v="2025-01-08T00:00:00"/>
        <d v="2025-01-10T00:00:00"/>
        <d v="2025-01-11T00:00:00"/>
        <d v="2025-01-12T00:00:00"/>
        <d v="2025-01-13T00:00:00"/>
        <d v="2025-01-14T00:00:00"/>
        <d v="2025-01-17T00:00:00"/>
        <d v="2025-01-18T00:00:00"/>
        <d v="2025-01-19T00:00:00"/>
        <d v="2025-01-20T00:00:00"/>
        <d v="2025-01-21T00:00:00"/>
        <d v="2025-01-22T00:00:00"/>
        <d v="2025-01-23T00:00:00"/>
        <d v="2025-01-24T00:00:00"/>
        <d v="2025-01-25T00:00:00"/>
        <d v="2025-01-28T00:00:00"/>
        <d v="2025-01-29T00:00:00"/>
        <d v="2025-01-30T00:00:00"/>
        <d v="2025-01-31T00:00:00"/>
        <d v="2025-02-01T00:00:00"/>
        <d v="2025-02-03T00:00:00"/>
        <d v="2025-02-04T00:00:00"/>
        <d v="2025-02-05T00:00:00"/>
        <d v="2025-02-07T00:00:00"/>
        <d v="2025-02-08T00:00:00"/>
        <d v="2025-02-09T00:00:00"/>
        <d v="2025-02-11T00:00:00"/>
        <d v="2025-02-12T00:00:00"/>
        <d v="2025-02-13T00:00:00"/>
        <d v="2025-02-16T00:00:00"/>
        <d v="2025-02-17T00:00:00"/>
        <d v="2025-02-18T00:00:00"/>
        <d v="2025-02-19T00:00:00"/>
        <d v="2025-02-20T00:00:00"/>
        <d v="2025-02-21T00:00:00"/>
        <d v="2025-02-23T00:00:00"/>
        <d v="2025-02-24T00:00:00"/>
        <d v="2025-02-25T00:00:00"/>
        <d v="2025-02-26T00:00:00"/>
        <d v="2025-03-01T00:00:00"/>
        <d v="2025-03-02T00:00:00"/>
        <d v="2025-03-03T00:00:00"/>
        <d v="2025-03-04T00:00:00"/>
        <d v="2025-03-06T00:00:00"/>
        <d v="2025-03-07T00:00:00"/>
        <d v="2025-03-08T00:00:00"/>
        <d v="2025-03-09T00:00:00"/>
        <d v="2025-03-10T00:00:00"/>
        <d v="2025-03-11T00:00:00"/>
        <d v="2025-03-12T00:00:00"/>
        <d v="2025-03-13T00:00:00"/>
        <d v="2025-03-14T00:00:00"/>
        <d v="2025-03-15T00:00:00"/>
        <d v="2025-03-16T00:00:00"/>
        <d v="2025-03-17T00:00:00"/>
        <d v="2025-03-19T00:00:00"/>
        <d v="2025-03-20T00:00:00"/>
        <d v="2025-03-21T00:00:00"/>
        <d v="2025-03-23T00:00:00"/>
        <d v="2025-03-24T00:00:00"/>
        <d v="2025-03-25T00:00:00"/>
        <d v="2025-03-27T00:00:00"/>
        <d v="2025-03-28T00:00:00"/>
        <d v="2025-03-29T00:00:00"/>
        <d v="2025-03-31T00:00:00"/>
        <d v="2025-04-02T00:00:00"/>
        <d v="2025-04-05T00:00:00"/>
        <d v="2025-04-06T00:00:00"/>
        <d v="2025-04-07T00:00:00"/>
        <d v="2025-04-09T00:00:00"/>
        <d v="2025-04-10T00:00:00"/>
        <d v="2025-04-11T00:00:00"/>
        <d v="2025-04-13T00:00:00"/>
        <d v="2025-04-14T00:00:00"/>
        <d v="2025-04-15T00:00:00"/>
        <d v="2025-04-16T00:00:00"/>
        <d v="2025-04-17T00:00:00"/>
        <d v="2025-04-18T00:00:00"/>
        <d v="2025-04-19T00:00:00"/>
        <d v="2025-04-20T00:00:00"/>
        <d v="2025-04-21T00:00:00"/>
        <d v="2025-04-22T00:00:00"/>
        <d v="2025-04-23T00:00:00"/>
        <d v="2025-04-24T00:00:00"/>
        <d v="2025-04-26T00:00:00"/>
        <d v="2025-04-27T00:00:00"/>
        <d v="2025-04-28T00:00:00"/>
        <d v="2025-04-29T00:00:00"/>
        <d v="2025-04-30T00:00:00"/>
        <d v="2025-05-01T00:00:00"/>
        <d v="2025-05-02T00:00:00"/>
        <d v="2025-05-04T00:00:00"/>
        <d v="2025-05-06T00:00:00"/>
        <d v="2025-05-08T00:00:00"/>
        <d v="2025-05-09T00:00:00"/>
        <d v="2025-05-10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8T00:00:00"/>
        <d v="2025-05-29T00:00:00"/>
        <d v="2025-05-30T00:00:00"/>
        <d v="2025-05-31T00:00:00"/>
        <d v="2025-06-01T00:00:00"/>
        <d v="2025-06-02T00:00:00"/>
        <d v="2025-06-03T00:00:00"/>
        <d v="2025-06-04T00:00:00"/>
        <d v="2025-06-05T00:00:00"/>
        <d v="2025-06-07T00:00:00"/>
        <d v="2025-06-08T00:00:00"/>
        <d v="2025-06-09T00:00:00"/>
        <d v="2025-06-10T00:00:00"/>
        <d v="2025-06-11T00:00:00"/>
        <d v="2025-06-12T00:00:00"/>
        <d v="2025-06-13T00:00:00"/>
        <d v="2025-06-15T00:00:00"/>
        <d v="2025-06-18T00:00:00"/>
        <d v="2025-06-20T00:00:00"/>
        <d v="2025-06-21T00:00:00"/>
        <d v="2025-06-22T00:00:00"/>
        <d v="2025-06-23T00:00:00"/>
        <d v="2025-06-27T00:00:00"/>
        <d v="2025-06-29T00:00:00"/>
        <d v="2025-06-30T00:00:00"/>
        <d v="2025-07-01T00:00:00"/>
        <d v="2025-07-02T00:00:00"/>
        <d v="2025-07-03T00:00:00"/>
        <d v="2025-07-05T00:00:00"/>
        <d v="2025-07-07T00:00:00"/>
        <d v="2025-07-08T00:00:00"/>
        <d v="2025-07-09T00:00:00"/>
        <d v="2025-07-10T00:00:00"/>
        <d v="2025-07-11T00:00:00"/>
        <d v="2025-07-15T00:00:00"/>
        <d v="2025-07-17T00:00:00"/>
        <d v="2025-07-19T00:00:00"/>
        <d v="2025-07-21T00:00:00"/>
        <d v="2025-07-22T00:00:00"/>
        <d v="2025-07-25T00:00:00"/>
        <d v="2025-07-28T00:00:00"/>
        <d v="2025-07-30T00:00:00"/>
        <d v="2025-08-01T00:00:00"/>
        <d v="2025-08-02T00:00:00"/>
        <d v="2025-08-04T00:00:00"/>
        <d v="2025-08-05T00:00:00"/>
        <d v="2025-08-07T00:00:00"/>
        <d v="2025-08-08T00:00:00"/>
        <d v="2025-08-09T00:00:00"/>
        <d v="2025-08-10T00:00:00"/>
        <d v="2025-08-11T00:00:00"/>
        <d v="2025-08-12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30T00:00:00"/>
        <d v="2025-08-31T00:00:00"/>
        <d v="2025-09-01T00:00:00"/>
        <d v="2025-09-02T00:00:00"/>
        <d v="2025-09-03T00:00:00"/>
        <d v="2025-09-04T00:00:00"/>
        <d v="2025-09-06T00:00:00"/>
        <d v="2025-09-08T00:00:00"/>
        <d v="2025-09-09T00:00:00"/>
        <d v="2025-09-10T00:00:00"/>
        <d v="2025-09-11T00:00:00"/>
        <d v="2025-09-12T00:00:00"/>
        <d v="2025-09-13T00:00:00"/>
        <d v="2025-09-15T00:00:00"/>
        <d v="2025-09-16T00:00:00"/>
        <d v="2025-09-17T00:00:00"/>
        <d v="2025-09-18T00:00:00"/>
        <d v="2025-09-19T00:00:00"/>
        <d v="2025-09-20T00:00:00"/>
        <d v="2025-09-21T00:00:00"/>
        <d v="2025-09-23T00:00:00"/>
        <d v="2025-09-24T00:00:00"/>
        <d v="2025-09-25T00:00:00"/>
        <d v="2025-09-26T00:00:00"/>
        <d v="2025-09-27T00:00:00"/>
        <d v="2025-09-28T00:00:00"/>
        <d v="2025-09-29T00:00:00"/>
        <d v="2025-09-30T00:00:00"/>
        <d v="2025-10-03T00:00:00"/>
        <d v="2025-10-04T00:00:00"/>
        <d v="2025-10-05T00:00:00"/>
        <d v="2025-10-07T00:00:00"/>
        <d v="2025-10-08T00:00:00"/>
        <d v="2025-10-09T00:00:00"/>
        <d v="2025-10-10T00:00:00"/>
        <d v="2025-10-11T00:00:00"/>
        <d v="2025-10-12T00:00:00"/>
        <d v="2025-10-14T00:00:00"/>
        <d v="2025-10-15T00:00:00"/>
        <d v="2025-10-16T00:00:00"/>
        <d v="2025-10-17T00:00:00"/>
        <d v="2025-10-18T00:00:00"/>
        <d v="2025-10-19T00:00:00"/>
        <d v="2025-10-20T00:00:00"/>
        <d v="2025-10-22T00:00:00"/>
        <d v="2025-10-24T00:00:00"/>
        <d v="2025-10-28T00:00:00"/>
        <d v="2025-10-29T00:00:00"/>
        <d v="2025-10-30T00:00:00"/>
        <d v="2025-11-01T00:00:00"/>
        <d v="2025-11-04T00:00:00"/>
        <d v="2025-11-06T00:00:00"/>
        <d v="2025-11-07T00:00:00"/>
        <d v="2025-11-08T00:00:00"/>
        <d v="2025-11-09T00:00:00"/>
        <d v="2025-11-10T00:00:00"/>
        <d v="2025-11-11T00:00:00"/>
        <d v="2025-11-12T00:00:00"/>
        <d v="2025-11-15T00:00:00"/>
        <d v="2025-11-16T00:00:00"/>
        <d v="2025-11-17T00:00:00"/>
        <d v="2025-11-19T00:00:00"/>
        <d v="2025-11-20T00:00:00"/>
        <d v="2025-11-21T00:00:00"/>
        <d v="2025-11-22T00:00:00"/>
        <d v="2025-11-25T00:00:00"/>
        <d v="2025-11-27T00:00:00"/>
        <d v="2025-11-29T00:00:00"/>
        <d v="2025-11-30T00:00:00"/>
        <d v="2025-12-02T00:00:00"/>
        <d v="2025-12-03T00:00:00"/>
        <d v="2025-12-04T00:00:00"/>
        <d v="2025-12-07T00:00:00"/>
        <d v="2025-12-08T00:00:00"/>
        <d v="2025-12-09T00:00:00"/>
        <d v="2025-12-10T00:00:00"/>
        <d v="2025-12-11T00:00:00"/>
        <d v="2025-12-13T00:00:00"/>
        <d v="2025-12-14T00:00:00"/>
        <d v="2025-12-15T00:00:00"/>
        <d v="2025-12-16T00:00:00"/>
        <d v="2025-12-17T00:00:00"/>
        <d v="2025-12-18T00:00:00"/>
        <d v="2025-12-19T00:00:00"/>
        <d v="2025-12-20T00:00:00"/>
        <d v="2025-12-22T00:00:00"/>
        <d v="2025-12-25T00:00:00"/>
        <d v="2025-12-26T00:00:00"/>
        <d v="2025-12-27T00:00:00"/>
        <d v="2025-12-28T00:00:00"/>
        <d v="2025-12-30T00:00:00"/>
        <d v="2025-12-31T00:00:00"/>
      </sharedItems>
      <fieldGroup par="11"/>
    </cacheField>
    <cacheField name="Customer" numFmtId="0">
      <sharedItems/>
    </cacheField>
    <cacheField name="Product" numFmtId="0">
      <sharedItems count="8">
        <s v="Laptop"/>
        <s v="Tablet"/>
        <s v="Keyboard"/>
        <s v="Monitor"/>
        <s v="Mouse"/>
        <s v="Webcam"/>
        <s v="Printer"/>
        <s v="Headphones"/>
      </sharedItems>
    </cacheField>
    <cacheField name="Category" numFmtId="0">
      <sharedItems count="3">
        <s v="Electronics"/>
        <s v="Accessories"/>
        <s v="Office"/>
      </sharedItems>
    </cacheField>
    <cacheField name="Region" numFmtId="0">
      <sharedItems count="4">
        <s v="North"/>
        <s v="East"/>
        <s v="South"/>
        <s v="Wes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10.47" maxValue="1390.27"/>
    </cacheField>
    <cacheField name="Sales" numFmtId="0">
      <sharedItems containsSemiMixedTypes="0" containsString="0" containsNumber="1" minValue="15.15" maxValue="13825.2"/>
    </cacheField>
    <cacheField name="Profit" numFmtId="0">
      <sharedItems containsSemiMixedTypes="0" containsString="0" containsNumber="1" minValue="3.17" maxValue="3569.12"/>
    </cacheField>
    <cacheField name="Days (Order Date)" numFmtId="0" databaseField="0">
      <fieldGroup base="1">
        <rangePr groupBy="days" startDate="2025-01-03T00:00:00" endDate="2026-01-01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3T00:00:00" endDate="2026-01-01T00:00:00"/>
        <groupItems count="14">
          <s v="&lt;03-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3493648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i palla" refreshedDate="46249.503583217593" backgroundQuery="1" createdVersion="8" refreshedVersion="8" minRefreshableVersion="3" recordCount="0" supportSubquery="1" supportAdvancedDrill="1" xr:uid="{94E2AF52-B9F0-4DE4-8CD4-787E012700C2}">
  <cacheSource type="external" connectionId="1"/>
  <cacheFields count="3">
    <cacheField name="[Measures].[Sum of Sales]" caption="Sum of Sales" numFmtId="0" hierarchy="12" level="32767"/>
    <cacheField name="[Table1].[Region].[Region]" caption="Region" numFmtId="0" hierarchy="5" level="1">
      <sharedItems count="4">
        <s v="East"/>
        <s v="North"/>
        <s v="South"/>
        <s v="West"/>
      </sharedItems>
    </cacheField>
    <cacheField name="[Measures].[Sum of Profit]" caption="Sum of Profit" numFmtId="0" hierarchy="13" level="32767"/>
  </cacheFields>
  <cacheHierarchies count="1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390"/>
    <x v="0"/>
    <s v="Customer 088"/>
    <x v="0"/>
    <x v="0"/>
    <x v="0"/>
    <n v="5"/>
    <n v="977.24"/>
    <n v="4886.2"/>
    <n v="952.54"/>
  </r>
  <r>
    <s v="ORD10316"/>
    <x v="0"/>
    <s v="Customer 014"/>
    <x v="1"/>
    <x v="0"/>
    <x v="1"/>
    <n v="1"/>
    <n v="580.91"/>
    <n v="580.91"/>
    <n v="120.24"/>
  </r>
  <r>
    <s v="ORD10336"/>
    <x v="0"/>
    <s v="Customer 014"/>
    <x v="1"/>
    <x v="0"/>
    <x v="2"/>
    <n v="1"/>
    <n v="426.6"/>
    <n v="426.6"/>
    <n v="61.99"/>
  </r>
  <r>
    <s v="ORD10387"/>
    <x v="1"/>
    <s v="Customer 035"/>
    <x v="2"/>
    <x v="1"/>
    <x v="0"/>
    <n v="9"/>
    <n v="64.849999999999994"/>
    <n v="583.65"/>
    <n v="98.04"/>
  </r>
  <r>
    <s v="ORD10090"/>
    <x v="2"/>
    <s v="Customer 039"/>
    <x v="3"/>
    <x v="0"/>
    <x v="1"/>
    <n v="2"/>
    <n v="355.91"/>
    <n v="711.82"/>
    <n v="145.07"/>
  </r>
  <r>
    <s v="ORD10126"/>
    <x v="3"/>
    <s v="Customer 072"/>
    <x v="1"/>
    <x v="0"/>
    <x v="0"/>
    <n v="10"/>
    <n v="417.64"/>
    <n v="4176.3999999999996"/>
    <n v="1209.4100000000001"/>
  </r>
  <r>
    <s v="ORD10040"/>
    <x v="3"/>
    <s v="Customer 021"/>
    <x v="2"/>
    <x v="1"/>
    <x v="3"/>
    <n v="3"/>
    <n v="62.8"/>
    <n v="188.4"/>
    <n v="22.27"/>
  </r>
  <r>
    <s v="ORD10202"/>
    <x v="4"/>
    <s v="Customer 020"/>
    <x v="1"/>
    <x v="0"/>
    <x v="1"/>
    <n v="4"/>
    <n v="275.92"/>
    <n v="1103.68"/>
    <n v="274.70999999999998"/>
  </r>
  <r>
    <s v="ORD10224"/>
    <x v="4"/>
    <s v="Customer 003"/>
    <x v="4"/>
    <x v="1"/>
    <x v="0"/>
    <n v="7"/>
    <n v="47.66"/>
    <n v="333.62"/>
    <n v="54.06"/>
  </r>
  <r>
    <s v="ORD10183"/>
    <x v="5"/>
    <s v="Customer 046"/>
    <x v="5"/>
    <x v="1"/>
    <x v="0"/>
    <n v="2"/>
    <n v="150.21"/>
    <n v="300.42"/>
    <n v="26.92"/>
  </r>
  <r>
    <s v="ORD10260"/>
    <x v="5"/>
    <s v="Customer 099"/>
    <x v="2"/>
    <x v="1"/>
    <x v="1"/>
    <n v="10"/>
    <n v="92.85"/>
    <n v="928.5"/>
    <n v="233.98"/>
  </r>
  <r>
    <s v="ORD10342"/>
    <x v="5"/>
    <s v="Customer 081"/>
    <x v="4"/>
    <x v="1"/>
    <x v="1"/>
    <n v="6"/>
    <n v="32.979999999999997"/>
    <n v="197.88"/>
    <n v="32.39"/>
  </r>
  <r>
    <s v="ORD10259"/>
    <x v="6"/>
    <s v="Customer 066"/>
    <x v="1"/>
    <x v="0"/>
    <x v="2"/>
    <n v="10"/>
    <n v="546.04999999999995"/>
    <n v="5460.5"/>
    <n v="1077.75"/>
  </r>
  <r>
    <s v="ORD10071"/>
    <x v="7"/>
    <s v="Customer 086"/>
    <x v="3"/>
    <x v="0"/>
    <x v="1"/>
    <n v="2"/>
    <n v="411.09"/>
    <n v="822.18"/>
    <n v="205.56"/>
  </r>
  <r>
    <s v="ORD10027"/>
    <x v="7"/>
    <s v="Customer 075"/>
    <x v="5"/>
    <x v="1"/>
    <x v="2"/>
    <n v="7"/>
    <n v="46.2"/>
    <n v="323.39999999999998"/>
    <n v="34.11"/>
  </r>
  <r>
    <s v="ORD10354"/>
    <x v="7"/>
    <s v="Customer 078"/>
    <x v="1"/>
    <x v="0"/>
    <x v="0"/>
    <n v="5"/>
    <n v="451.08"/>
    <n v="2255.4"/>
    <n v="652.54"/>
  </r>
  <r>
    <s v="ORD10143"/>
    <x v="8"/>
    <s v="Customer 074"/>
    <x v="4"/>
    <x v="1"/>
    <x v="3"/>
    <n v="3"/>
    <n v="24.4"/>
    <n v="73.2"/>
    <n v="19.13"/>
  </r>
  <r>
    <s v="ORD10348"/>
    <x v="8"/>
    <s v="Customer 089"/>
    <x v="4"/>
    <x v="1"/>
    <x v="1"/>
    <n v="1"/>
    <n v="15.15"/>
    <n v="15.15"/>
    <n v="3.17"/>
  </r>
  <r>
    <s v="ORD10389"/>
    <x v="9"/>
    <s v="Customer 098"/>
    <x v="0"/>
    <x v="0"/>
    <x v="2"/>
    <n v="7"/>
    <n v="1296.5"/>
    <n v="9075.5"/>
    <n v="2369.6"/>
  </r>
  <r>
    <s v="ORD10041"/>
    <x v="9"/>
    <s v="Customer 082"/>
    <x v="2"/>
    <x v="1"/>
    <x v="3"/>
    <n v="7"/>
    <n v="58.13"/>
    <n v="406.91"/>
    <n v="101.56"/>
  </r>
  <r>
    <s v="ORD10356"/>
    <x v="9"/>
    <s v="Customer 041"/>
    <x v="6"/>
    <x v="2"/>
    <x v="0"/>
    <n v="3"/>
    <n v="435.36"/>
    <n v="1306.08"/>
    <n v="367.18"/>
  </r>
  <r>
    <s v="ORD10129"/>
    <x v="9"/>
    <s v="Customer 042"/>
    <x v="4"/>
    <x v="1"/>
    <x v="3"/>
    <n v="1"/>
    <n v="36.99"/>
    <n v="36.99"/>
    <n v="9.06"/>
  </r>
  <r>
    <s v="ORD10175"/>
    <x v="10"/>
    <s v="Customer 004"/>
    <x v="1"/>
    <x v="0"/>
    <x v="3"/>
    <n v="10"/>
    <n v="589.65"/>
    <n v="5896.5"/>
    <n v="1315.3"/>
  </r>
  <r>
    <s v="ORD10209"/>
    <x v="10"/>
    <s v="Customer 093"/>
    <x v="5"/>
    <x v="1"/>
    <x v="2"/>
    <n v="10"/>
    <n v="96.19"/>
    <n v="961.9"/>
    <n v="205.23"/>
  </r>
  <r>
    <s v="ORD10282"/>
    <x v="11"/>
    <s v="Customer 057"/>
    <x v="4"/>
    <x v="1"/>
    <x v="1"/>
    <n v="6"/>
    <n v="44.94"/>
    <n v="269.64"/>
    <n v="40.74"/>
  </r>
  <r>
    <s v="ORD10415"/>
    <x v="12"/>
    <s v="Customer 004"/>
    <x v="2"/>
    <x v="1"/>
    <x v="0"/>
    <n v="8"/>
    <n v="41.73"/>
    <n v="333.84"/>
    <n v="67.59"/>
  </r>
  <r>
    <s v="ORD10319"/>
    <x v="12"/>
    <s v="Customer 022"/>
    <x v="6"/>
    <x v="2"/>
    <x v="0"/>
    <n v="5"/>
    <n v="253.02"/>
    <n v="1265.0999999999999"/>
    <n v="269.58"/>
  </r>
  <r>
    <s v="ORD10358"/>
    <x v="13"/>
    <s v="Customer 068"/>
    <x v="1"/>
    <x v="0"/>
    <x v="1"/>
    <n v="7"/>
    <n v="512.25"/>
    <n v="3585.75"/>
    <n v="372.78"/>
  </r>
  <r>
    <s v="ORD10370"/>
    <x v="13"/>
    <s v="Customer 012"/>
    <x v="6"/>
    <x v="2"/>
    <x v="1"/>
    <n v="4"/>
    <n v="449.77"/>
    <n v="1799.08"/>
    <n v="498.84"/>
  </r>
  <r>
    <s v="ORD10079"/>
    <x v="13"/>
    <s v="Customer 074"/>
    <x v="6"/>
    <x v="2"/>
    <x v="3"/>
    <n v="10"/>
    <n v="116.83"/>
    <n v="1168.3"/>
    <n v="313.83"/>
  </r>
  <r>
    <s v="ORD10383"/>
    <x v="13"/>
    <s v="Customer 073"/>
    <x v="4"/>
    <x v="1"/>
    <x v="2"/>
    <n v="2"/>
    <n v="36.119999999999997"/>
    <n v="72.239999999999995"/>
    <n v="14.24"/>
  </r>
  <r>
    <s v="ORD10170"/>
    <x v="14"/>
    <s v="Customer 092"/>
    <x v="5"/>
    <x v="1"/>
    <x v="3"/>
    <n v="4"/>
    <n v="67.290000000000006"/>
    <n v="269.16000000000003"/>
    <n v="23.95"/>
  </r>
  <r>
    <s v="ORD10299"/>
    <x v="15"/>
    <s v="Customer 059"/>
    <x v="7"/>
    <x v="1"/>
    <x v="3"/>
    <n v="9"/>
    <n v="45.99"/>
    <n v="413.91"/>
    <n v="120.84"/>
  </r>
  <r>
    <s v="ORD10320"/>
    <x v="16"/>
    <s v="Customer 048"/>
    <x v="5"/>
    <x v="1"/>
    <x v="3"/>
    <n v="4"/>
    <n v="149.86000000000001"/>
    <n v="599.44000000000005"/>
    <n v="89.91"/>
  </r>
  <r>
    <s v="ORD10397"/>
    <x v="17"/>
    <s v="Customer 040"/>
    <x v="1"/>
    <x v="0"/>
    <x v="0"/>
    <n v="6"/>
    <n v="563.67999999999995"/>
    <n v="3382.08"/>
    <n v="408.39"/>
  </r>
  <r>
    <s v="ORD10371"/>
    <x v="17"/>
    <s v="Customer 035"/>
    <x v="4"/>
    <x v="1"/>
    <x v="0"/>
    <n v="1"/>
    <n v="37.79"/>
    <n v="37.79"/>
    <n v="3.62"/>
  </r>
  <r>
    <s v="ORD10051"/>
    <x v="18"/>
    <s v="Customer 085"/>
    <x v="6"/>
    <x v="2"/>
    <x v="1"/>
    <n v="10"/>
    <n v="130.55000000000001"/>
    <n v="1305.5"/>
    <n v="298.61"/>
  </r>
  <r>
    <s v="ORD10067"/>
    <x v="18"/>
    <s v="Customer 058"/>
    <x v="4"/>
    <x v="1"/>
    <x v="3"/>
    <n v="3"/>
    <n v="40.31"/>
    <n v="120.93"/>
    <n v="23.7"/>
  </r>
  <r>
    <s v="ORD10064"/>
    <x v="18"/>
    <s v="Customer 061"/>
    <x v="0"/>
    <x v="0"/>
    <x v="0"/>
    <n v="4"/>
    <n v="502.44"/>
    <n v="2009.76"/>
    <n v="578.29999999999995"/>
  </r>
  <r>
    <s v="ORD10218"/>
    <x v="19"/>
    <s v="Customer 047"/>
    <x v="7"/>
    <x v="1"/>
    <x v="1"/>
    <n v="7"/>
    <n v="102.16"/>
    <n v="715.12"/>
    <n v="188.73"/>
  </r>
  <r>
    <s v="ORD10304"/>
    <x v="20"/>
    <s v="Customer 014"/>
    <x v="5"/>
    <x v="1"/>
    <x v="1"/>
    <n v="5"/>
    <n v="70.09"/>
    <n v="350.45"/>
    <n v="29.39"/>
  </r>
  <r>
    <s v="ORD10181"/>
    <x v="20"/>
    <s v="Customer 012"/>
    <x v="7"/>
    <x v="1"/>
    <x v="3"/>
    <n v="3"/>
    <n v="99.86"/>
    <n v="299.58"/>
    <n v="81.430000000000007"/>
  </r>
  <r>
    <s v="ORD10410"/>
    <x v="21"/>
    <s v="Customer 051"/>
    <x v="5"/>
    <x v="1"/>
    <x v="0"/>
    <n v="3"/>
    <n v="46.32"/>
    <n v="138.96"/>
    <n v="30.88"/>
  </r>
  <r>
    <s v="ORD10321"/>
    <x v="21"/>
    <s v="Customer 083"/>
    <x v="1"/>
    <x v="0"/>
    <x v="3"/>
    <n v="3"/>
    <n v="555.20000000000005"/>
    <n v="1665.6"/>
    <n v="450.74"/>
  </r>
  <r>
    <s v="ORD10489"/>
    <x v="22"/>
    <s v="Customer 064"/>
    <x v="0"/>
    <x v="0"/>
    <x v="0"/>
    <n v="7"/>
    <n v="1305.03"/>
    <n v="9135.2099999999991"/>
    <n v="1499.6"/>
  </r>
  <r>
    <s v="ORD10077"/>
    <x v="22"/>
    <s v="Customer 098"/>
    <x v="4"/>
    <x v="1"/>
    <x v="3"/>
    <n v="10"/>
    <n v="56.32"/>
    <n v="563.20000000000005"/>
    <n v="135.66"/>
  </r>
  <r>
    <s v="ORD10276"/>
    <x v="23"/>
    <s v="Customer 047"/>
    <x v="4"/>
    <x v="1"/>
    <x v="2"/>
    <n v="1"/>
    <n v="59.27"/>
    <n v="59.27"/>
    <n v="12.37"/>
  </r>
  <r>
    <s v="ORD10160"/>
    <x v="24"/>
    <s v="Customer 070"/>
    <x v="4"/>
    <x v="1"/>
    <x v="1"/>
    <n v="10"/>
    <n v="15.21"/>
    <n v="152.1"/>
    <n v="43.87"/>
  </r>
  <r>
    <s v="ORD10461"/>
    <x v="25"/>
    <s v="Customer 046"/>
    <x v="3"/>
    <x v="0"/>
    <x v="1"/>
    <n v="6"/>
    <n v="330.34"/>
    <n v="1982.04"/>
    <n v="450.54"/>
  </r>
  <r>
    <s v="ORD10492"/>
    <x v="26"/>
    <s v="Customer 011"/>
    <x v="7"/>
    <x v="1"/>
    <x v="1"/>
    <n v="7"/>
    <n v="162.44"/>
    <n v="1137.08"/>
    <n v="95.98"/>
  </r>
  <r>
    <s v="ORD10002"/>
    <x v="27"/>
    <s v="Customer 080"/>
    <x v="4"/>
    <x v="1"/>
    <x v="0"/>
    <n v="7"/>
    <n v="27.76"/>
    <n v="194.32"/>
    <n v="26.03"/>
  </r>
  <r>
    <s v="ORD10379"/>
    <x v="27"/>
    <s v="Customer 020"/>
    <x v="3"/>
    <x v="0"/>
    <x v="3"/>
    <n v="2"/>
    <n v="428.37"/>
    <n v="856.74"/>
    <n v="184.9"/>
  </r>
  <r>
    <s v="ORD10227"/>
    <x v="27"/>
    <s v="Customer 030"/>
    <x v="7"/>
    <x v="1"/>
    <x v="0"/>
    <n v="3"/>
    <n v="108.99"/>
    <n v="326.97000000000003"/>
    <n v="31.13"/>
  </r>
  <r>
    <s v="ORD10279"/>
    <x v="28"/>
    <s v="Customer 063"/>
    <x v="0"/>
    <x v="0"/>
    <x v="1"/>
    <n v="6"/>
    <n v="936.3"/>
    <n v="5617.8"/>
    <n v="1042.54"/>
  </r>
  <r>
    <s v="ORD10111"/>
    <x v="29"/>
    <s v="Customer 015"/>
    <x v="1"/>
    <x v="0"/>
    <x v="1"/>
    <n v="10"/>
    <n v="437.62"/>
    <n v="4376.2"/>
    <n v="567.24"/>
  </r>
  <r>
    <s v="ORD10171"/>
    <x v="30"/>
    <s v="Customer 001"/>
    <x v="1"/>
    <x v="0"/>
    <x v="0"/>
    <n v="9"/>
    <n v="496.11"/>
    <n v="4464.99"/>
    <n v="518.29999999999995"/>
  </r>
  <r>
    <s v="ORD10030"/>
    <x v="30"/>
    <s v="Customer 015"/>
    <x v="4"/>
    <x v="1"/>
    <x v="3"/>
    <n v="2"/>
    <n v="59.86"/>
    <n v="119.72"/>
    <n v="31.14"/>
  </r>
  <r>
    <s v="ORD10169"/>
    <x v="30"/>
    <s v="Customer 033"/>
    <x v="6"/>
    <x v="2"/>
    <x v="2"/>
    <n v="8"/>
    <n v="209.01"/>
    <n v="1672.08"/>
    <n v="310.67"/>
  </r>
  <r>
    <s v="ORD10084"/>
    <x v="31"/>
    <s v="Customer 057"/>
    <x v="1"/>
    <x v="0"/>
    <x v="3"/>
    <n v="9"/>
    <n v="609.07000000000005"/>
    <n v="5481.63"/>
    <n v="825.33"/>
  </r>
  <r>
    <s v="ORD10206"/>
    <x v="31"/>
    <s v="Customer 099"/>
    <x v="7"/>
    <x v="1"/>
    <x v="0"/>
    <n v="7"/>
    <n v="94.02"/>
    <n v="658.14"/>
    <n v="137.80000000000001"/>
  </r>
  <r>
    <s v="ORD10310"/>
    <x v="32"/>
    <s v="Customer 030"/>
    <x v="5"/>
    <x v="1"/>
    <x v="1"/>
    <n v="10"/>
    <n v="132.51"/>
    <n v="1325.1"/>
    <n v="337.92"/>
  </r>
  <r>
    <s v="ORD10437"/>
    <x v="33"/>
    <s v="Customer 025"/>
    <x v="1"/>
    <x v="0"/>
    <x v="3"/>
    <n v="3"/>
    <n v="690.81"/>
    <n v="2072.4299999999998"/>
    <n v="192.45"/>
  </r>
  <r>
    <s v="ORD10439"/>
    <x v="33"/>
    <s v="Customer 017"/>
    <x v="6"/>
    <x v="2"/>
    <x v="0"/>
    <n v="2"/>
    <n v="310.27999999999997"/>
    <n v="620.55999999999995"/>
    <n v="87.13"/>
  </r>
  <r>
    <s v="ORD10180"/>
    <x v="34"/>
    <s v="Customer 009"/>
    <x v="2"/>
    <x v="1"/>
    <x v="1"/>
    <n v="1"/>
    <n v="93.84"/>
    <n v="93.84"/>
    <n v="22.87"/>
  </r>
  <r>
    <s v="ORD10236"/>
    <x v="35"/>
    <s v="Customer 052"/>
    <x v="4"/>
    <x v="1"/>
    <x v="2"/>
    <n v="8"/>
    <n v="35.28"/>
    <n v="282.24"/>
    <n v="41.96"/>
  </r>
  <r>
    <s v="ORD10029"/>
    <x v="35"/>
    <s v="Customer 088"/>
    <x v="1"/>
    <x v="0"/>
    <x v="2"/>
    <n v="3"/>
    <n v="542.41999999999996"/>
    <n v="1627.26"/>
    <n v="133.43"/>
  </r>
  <r>
    <s v="ORD10466"/>
    <x v="35"/>
    <s v="Customer 097"/>
    <x v="6"/>
    <x v="2"/>
    <x v="0"/>
    <n v="1"/>
    <n v="318.02999999999997"/>
    <n v="318.02999999999997"/>
    <n v="73.03"/>
  </r>
  <r>
    <s v="ORD10307"/>
    <x v="36"/>
    <s v="Customer 062"/>
    <x v="4"/>
    <x v="1"/>
    <x v="1"/>
    <n v="4"/>
    <n v="38.659999999999997"/>
    <n v="154.63999999999999"/>
    <n v="41.79"/>
  </r>
  <r>
    <s v="ORD10449"/>
    <x v="36"/>
    <s v="Customer 093"/>
    <x v="6"/>
    <x v="2"/>
    <x v="3"/>
    <n v="6"/>
    <n v="116.43"/>
    <n v="698.58"/>
    <n v="107.71"/>
  </r>
  <r>
    <s v="ORD10459"/>
    <x v="37"/>
    <s v="Customer 061"/>
    <x v="2"/>
    <x v="1"/>
    <x v="2"/>
    <n v="9"/>
    <n v="62"/>
    <n v="558"/>
    <n v="98.95"/>
  </r>
  <r>
    <s v="ORD10219"/>
    <x v="37"/>
    <s v="Customer 073"/>
    <x v="1"/>
    <x v="0"/>
    <x v="1"/>
    <n v="9"/>
    <n v="438.45"/>
    <n v="3946.05"/>
    <n v="520.38"/>
  </r>
  <r>
    <s v="ORD10161"/>
    <x v="38"/>
    <s v="Customer 012"/>
    <x v="6"/>
    <x v="2"/>
    <x v="1"/>
    <n v="2"/>
    <n v="394.15"/>
    <n v="788.3"/>
    <n v="171.51"/>
  </r>
  <r>
    <s v="ORD10353"/>
    <x v="39"/>
    <s v="Customer 059"/>
    <x v="0"/>
    <x v="0"/>
    <x v="2"/>
    <n v="5"/>
    <n v="1121.5"/>
    <n v="5607.5"/>
    <n v="1117.69"/>
  </r>
  <r>
    <s v="ORD10395"/>
    <x v="40"/>
    <s v="Customer 087"/>
    <x v="2"/>
    <x v="1"/>
    <x v="3"/>
    <n v="6"/>
    <n v="63.07"/>
    <n v="378.42"/>
    <n v="54.86"/>
  </r>
  <r>
    <s v="ORD10097"/>
    <x v="41"/>
    <s v="Customer 059"/>
    <x v="3"/>
    <x v="0"/>
    <x v="1"/>
    <n v="5"/>
    <n v="303.56"/>
    <n v="1517.8"/>
    <n v="272.92"/>
  </r>
  <r>
    <s v="ORD10382"/>
    <x v="42"/>
    <s v="Customer 033"/>
    <x v="5"/>
    <x v="1"/>
    <x v="1"/>
    <n v="3"/>
    <n v="94.62"/>
    <n v="283.86"/>
    <n v="80.760000000000005"/>
  </r>
  <r>
    <s v="ORD10488"/>
    <x v="42"/>
    <s v="Customer 013"/>
    <x v="4"/>
    <x v="1"/>
    <x v="2"/>
    <n v="9"/>
    <n v="15.47"/>
    <n v="139.22999999999999"/>
    <n v="25.68"/>
  </r>
  <r>
    <s v="ORD10087"/>
    <x v="43"/>
    <s v="Customer 098"/>
    <x v="5"/>
    <x v="1"/>
    <x v="0"/>
    <n v="10"/>
    <n v="116.05"/>
    <n v="1160.5"/>
    <n v="143.99"/>
  </r>
  <r>
    <s v="ORD10179"/>
    <x v="43"/>
    <s v="Customer 032"/>
    <x v="0"/>
    <x v="0"/>
    <x v="0"/>
    <n v="3"/>
    <n v="1277.17"/>
    <n v="3831.51"/>
    <n v="702.85"/>
  </r>
  <r>
    <s v="ORD10403"/>
    <x v="43"/>
    <s v="Customer 015"/>
    <x v="2"/>
    <x v="1"/>
    <x v="2"/>
    <n v="4"/>
    <n v="99.23"/>
    <n v="396.92"/>
    <n v="77.73"/>
  </r>
  <r>
    <s v="ORD10447"/>
    <x v="44"/>
    <s v="Customer 065"/>
    <x v="2"/>
    <x v="1"/>
    <x v="2"/>
    <n v="6"/>
    <n v="86.45"/>
    <n v="518.70000000000005"/>
    <n v="134.91999999999999"/>
  </r>
  <r>
    <s v="ORD10134"/>
    <x v="45"/>
    <s v="Customer 023"/>
    <x v="7"/>
    <x v="1"/>
    <x v="1"/>
    <n v="7"/>
    <n v="119.77"/>
    <n v="838.39"/>
    <n v="156.04"/>
  </r>
  <r>
    <s v="ORD10124"/>
    <x v="45"/>
    <s v="Customer 025"/>
    <x v="6"/>
    <x v="2"/>
    <x v="3"/>
    <n v="4"/>
    <n v="287.77"/>
    <n v="1151.08"/>
    <n v="258.45999999999998"/>
  </r>
  <r>
    <s v="ORD10121"/>
    <x v="46"/>
    <s v="Customer 026"/>
    <x v="1"/>
    <x v="0"/>
    <x v="1"/>
    <n v="5"/>
    <n v="436.87"/>
    <n v="2184.35"/>
    <n v="364.83"/>
  </r>
  <r>
    <s v="ORD10142"/>
    <x v="47"/>
    <s v="Customer 012"/>
    <x v="0"/>
    <x v="0"/>
    <x v="2"/>
    <n v="1"/>
    <n v="881.24"/>
    <n v="881.24"/>
    <n v="86.5"/>
  </r>
  <r>
    <s v="ORD10009"/>
    <x v="48"/>
    <s v="Customer 044"/>
    <x v="6"/>
    <x v="2"/>
    <x v="0"/>
    <n v="10"/>
    <n v="297.56"/>
    <n v="2975.6"/>
    <n v="695.63"/>
  </r>
  <r>
    <s v="ORD10346"/>
    <x v="48"/>
    <s v="Customer 033"/>
    <x v="6"/>
    <x v="2"/>
    <x v="1"/>
    <n v="9"/>
    <n v="438.69"/>
    <n v="3948.21"/>
    <n v="701.88"/>
  </r>
  <r>
    <s v="ORD10044"/>
    <x v="48"/>
    <s v="Customer 087"/>
    <x v="1"/>
    <x v="0"/>
    <x v="3"/>
    <n v="7"/>
    <n v="683.36"/>
    <n v="4783.5200000000004"/>
    <n v="1194.05"/>
  </r>
  <r>
    <s v="ORD10038"/>
    <x v="49"/>
    <s v="Customer 037"/>
    <x v="0"/>
    <x v="0"/>
    <x v="1"/>
    <n v="1"/>
    <n v="1238.78"/>
    <n v="1238.78"/>
    <n v="304.51"/>
  </r>
  <r>
    <s v="ORD10069"/>
    <x v="50"/>
    <s v="Customer 041"/>
    <x v="4"/>
    <x v="1"/>
    <x v="3"/>
    <n v="8"/>
    <n v="15.33"/>
    <n v="122.64"/>
    <n v="17.86"/>
  </r>
  <r>
    <s v="ORD10199"/>
    <x v="51"/>
    <s v="Customer 097"/>
    <x v="7"/>
    <x v="1"/>
    <x v="3"/>
    <n v="6"/>
    <n v="113.6"/>
    <n v="681.6"/>
    <n v="181.42"/>
  </r>
  <r>
    <s v="ORD10463"/>
    <x v="51"/>
    <s v="Customer 008"/>
    <x v="5"/>
    <x v="1"/>
    <x v="1"/>
    <n v="1"/>
    <n v="159.56"/>
    <n v="159.56"/>
    <n v="35.24"/>
  </r>
  <r>
    <s v="ORD10471"/>
    <x v="52"/>
    <s v="Customer 064"/>
    <x v="7"/>
    <x v="1"/>
    <x v="0"/>
    <n v="8"/>
    <n v="98.61"/>
    <n v="788.88"/>
    <n v="128.80000000000001"/>
  </r>
  <r>
    <s v="ORD10362"/>
    <x v="52"/>
    <s v="Customer 086"/>
    <x v="0"/>
    <x v="0"/>
    <x v="1"/>
    <n v="10"/>
    <n v="1382.52"/>
    <n v="13825.2"/>
    <n v="2555.91"/>
  </r>
  <r>
    <s v="ORD10386"/>
    <x v="53"/>
    <s v="Customer 068"/>
    <x v="1"/>
    <x v="0"/>
    <x v="0"/>
    <n v="5"/>
    <n v="369.64"/>
    <n v="1848.2"/>
    <n v="439.65"/>
  </r>
  <r>
    <s v="ORD10332"/>
    <x v="54"/>
    <s v="Customer 063"/>
    <x v="0"/>
    <x v="0"/>
    <x v="3"/>
    <n v="7"/>
    <n v="1261.77"/>
    <n v="8832.39"/>
    <n v="2412.44"/>
  </r>
  <r>
    <s v="ORD10042"/>
    <x v="55"/>
    <s v="Customer 069"/>
    <x v="6"/>
    <x v="2"/>
    <x v="0"/>
    <n v="2"/>
    <n v="393.5"/>
    <n v="787"/>
    <n v="226.98"/>
  </r>
  <r>
    <s v="ORD10467"/>
    <x v="56"/>
    <s v="Customer 090"/>
    <x v="1"/>
    <x v="0"/>
    <x v="0"/>
    <n v="8"/>
    <n v="568.89"/>
    <n v="4551.12"/>
    <n v="595.21"/>
  </r>
  <r>
    <s v="ORD10442"/>
    <x v="57"/>
    <s v="Customer 006"/>
    <x v="1"/>
    <x v="0"/>
    <x v="0"/>
    <n v="3"/>
    <n v="566.54"/>
    <n v="1699.62"/>
    <n v="301.51"/>
  </r>
  <r>
    <s v="ORD10359"/>
    <x v="57"/>
    <s v="Customer 092"/>
    <x v="0"/>
    <x v="0"/>
    <x v="2"/>
    <n v="5"/>
    <n v="1183.1300000000001"/>
    <n v="5915.65"/>
    <n v="667.16"/>
  </r>
  <r>
    <s v="ORD10409"/>
    <x v="58"/>
    <s v="Customer 021"/>
    <x v="4"/>
    <x v="1"/>
    <x v="2"/>
    <n v="10"/>
    <n v="10.47"/>
    <n v="104.7"/>
    <n v="26.66"/>
  </r>
  <r>
    <s v="ORD10440"/>
    <x v="59"/>
    <s v="Customer 061"/>
    <x v="2"/>
    <x v="1"/>
    <x v="3"/>
    <n v="10"/>
    <n v="92.3"/>
    <n v="923"/>
    <n v="195.08"/>
  </r>
  <r>
    <s v="ORD10239"/>
    <x v="59"/>
    <s v="Customer 051"/>
    <x v="2"/>
    <x v="1"/>
    <x v="0"/>
    <n v="2"/>
    <n v="65.56"/>
    <n v="131.12"/>
    <n v="10.75"/>
  </r>
  <r>
    <s v="ORD10138"/>
    <x v="60"/>
    <s v="Customer 019"/>
    <x v="0"/>
    <x v="0"/>
    <x v="3"/>
    <n v="8"/>
    <n v="1244.1199999999999"/>
    <n v="9952.9599999999991"/>
    <n v="2857.22"/>
  </r>
  <r>
    <s v="ORD10195"/>
    <x v="60"/>
    <s v="Customer 027"/>
    <x v="6"/>
    <x v="2"/>
    <x v="1"/>
    <n v="1"/>
    <n v="174.44"/>
    <n v="174.44"/>
    <n v="46.21"/>
  </r>
  <r>
    <s v="ORD10068"/>
    <x v="60"/>
    <s v="Customer 043"/>
    <x v="0"/>
    <x v="0"/>
    <x v="1"/>
    <n v="7"/>
    <n v="1214.8599999999999"/>
    <n v="8504.02"/>
    <n v="2225.52"/>
  </r>
  <r>
    <s v="ORD10105"/>
    <x v="61"/>
    <s v="Customer 007"/>
    <x v="3"/>
    <x v="0"/>
    <x v="2"/>
    <n v="9"/>
    <n v="301.02999999999997"/>
    <n v="2709.27"/>
    <n v="492.17"/>
  </r>
  <r>
    <s v="ORD10032"/>
    <x v="62"/>
    <s v="Customer 071"/>
    <x v="0"/>
    <x v="0"/>
    <x v="0"/>
    <n v="8"/>
    <n v="1018.4"/>
    <n v="8147.2"/>
    <n v="1159.6400000000001"/>
  </r>
  <r>
    <s v="ORD10164"/>
    <x v="62"/>
    <s v="Customer 080"/>
    <x v="4"/>
    <x v="1"/>
    <x v="1"/>
    <n v="7"/>
    <n v="21.8"/>
    <n v="152.6"/>
    <n v="28.47"/>
  </r>
  <r>
    <s v="ORD10400"/>
    <x v="62"/>
    <s v="Customer 076"/>
    <x v="0"/>
    <x v="0"/>
    <x v="1"/>
    <n v="2"/>
    <n v="1289"/>
    <n v="2578"/>
    <n v="255.61"/>
  </r>
  <r>
    <s v="ORD10098"/>
    <x v="63"/>
    <s v="Customer 010"/>
    <x v="4"/>
    <x v="1"/>
    <x v="0"/>
    <n v="6"/>
    <n v="38.869999999999997"/>
    <n v="233.22"/>
    <n v="45.87"/>
  </r>
  <r>
    <s v="ORD10490"/>
    <x v="64"/>
    <s v="Customer 011"/>
    <x v="7"/>
    <x v="1"/>
    <x v="3"/>
    <n v="5"/>
    <n v="178.72"/>
    <n v="893.6"/>
    <n v="95.05"/>
  </r>
  <r>
    <s v="ORD10349"/>
    <x v="65"/>
    <s v="Customer 014"/>
    <x v="1"/>
    <x v="0"/>
    <x v="1"/>
    <n v="5"/>
    <n v="343.59"/>
    <n v="1717.95"/>
    <n v="201.1"/>
  </r>
  <r>
    <s v="ORD10131"/>
    <x v="65"/>
    <s v="Customer 006"/>
    <x v="4"/>
    <x v="1"/>
    <x v="3"/>
    <n v="5"/>
    <n v="30.45"/>
    <n v="152.25"/>
    <n v="15.62"/>
  </r>
  <r>
    <s v="ORD10295"/>
    <x v="65"/>
    <s v="Customer 097"/>
    <x v="3"/>
    <x v="0"/>
    <x v="3"/>
    <n v="6"/>
    <n v="173.51"/>
    <n v="1041.06"/>
    <n v="126.42"/>
  </r>
  <r>
    <s v="ORD10200"/>
    <x v="66"/>
    <s v="Customer 068"/>
    <x v="2"/>
    <x v="1"/>
    <x v="1"/>
    <n v="3"/>
    <n v="88.85"/>
    <n v="266.55"/>
    <n v="58.2"/>
  </r>
  <r>
    <s v="ORD10205"/>
    <x v="66"/>
    <s v="Customer 005"/>
    <x v="4"/>
    <x v="1"/>
    <x v="1"/>
    <n v="9"/>
    <n v="29.87"/>
    <n v="268.83"/>
    <n v="51.91"/>
  </r>
  <r>
    <s v="ORD10309"/>
    <x v="67"/>
    <s v="Customer 019"/>
    <x v="1"/>
    <x v="0"/>
    <x v="0"/>
    <n v="8"/>
    <n v="390.28"/>
    <n v="3122.24"/>
    <n v="327.47000000000003"/>
  </r>
  <r>
    <s v="ORD10472"/>
    <x v="68"/>
    <s v="Customer 062"/>
    <x v="1"/>
    <x v="0"/>
    <x v="1"/>
    <n v="6"/>
    <n v="383.41"/>
    <n v="2300.46"/>
    <n v="367.72"/>
  </r>
  <r>
    <s v="ORD10351"/>
    <x v="68"/>
    <s v="Customer 053"/>
    <x v="4"/>
    <x v="1"/>
    <x v="0"/>
    <n v="6"/>
    <n v="58.1"/>
    <n v="348.6"/>
    <n v="86.12"/>
  </r>
  <r>
    <s v="ORD10445"/>
    <x v="68"/>
    <s v="Customer 008"/>
    <x v="4"/>
    <x v="1"/>
    <x v="3"/>
    <n v="2"/>
    <n v="51.89"/>
    <n v="103.78"/>
    <n v="8.66"/>
  </r>
  <r>
    <s v="ORD10075"/>
    <x v="69"/>
    <s v="Customer 070"/>
    <x v="7"/>
    <x v="1"/>
    <x v="2"/>
    <n v="8"/>
    <n v="60.75"/>
    <n v="486"/>
    <n v="141.87"/>
  </r>
  <r>
    <s v="ORD10128"/>
    <x v="69"/>
    <s v="Customer 097"/>
    <x v="0"/>
    <x v="0"/>
    <x v="1"/>
    <n v="10"/>
    <n v="952.06"/>
    <n v="9520.6"/>
    <n v="2278.69"/>
  </r>
  <r>
    <s v="ORD10057"/>
    <x v="70"/>
    <s v="Customer 068"/>
    <x v="1"/>
    <x v="0"/>
    <x v="1"/>
    <n v="6"/>
    <n v="416.22"/>
    <n v="2497.3200000000002"/>
    <n v="651.13"/>
  </r>
  <r>
    <s v="ORD10308"/>
    <x v="70"/>
    <s v="Customer 035"/>
    <x v="3"/>
    <x v="0"/>
    <x v="2"/>
    <n v="10"/>
    <n v="443.34"/>
    <n v="4433.3999999999996"/>
    <n v="1104.25"/>
  </r>
  <r>
    <s v="ORD10074"/>
    <x v="71"/>
    <s v="Customer 098"/>
    <x v="3"/>
    <x v="0"/>
    <x v="0"/>
    <n v="1"/>
    <n v="496.83"/>
    <n v="496.83"/>
    <n v="134.63"/>
  </r>
  <r>
    <s v="ORD10182"/>
    <x v="72"/>
    <s v="Customer 011"/>
    <x v="6"/>
    <x v="2"/>
    <x v="0"/>
    <n v="4"/>
    <n v="268.29000000000002"/>
    <n v="1073.1600000000001"/>
    <n v="188.24"/>
  </r>
  <r>
    <s v="ORD10107"/>
    <x v="72"/>
    <s v="Customer 020"/>
    <x v="5"/>
    <x v="1"/>
    <x v="2"/>
    <n v="1"/>
    <n v="127.67"/>
    <n v="127.67"/>
    <n v="27.02"/>
  </r>
  <r>
    <s v="ORD10099"/>
    <x v="73"/>
    <s v="Customer 099"/>
    <x v="5"/>
    <x v="1"/>
    <x v="1"/>
    <n v="7"/>
    <n v="82.64"/>
    <n v="578.48"/>
    <n v="48.55"/>
  </r>
  <r>
    <s v="ORD10480"/>
    <x v="74"/>
    <s v="Customer 088"/>
    <x v="4"/>
    <x v="1"/>
    <x v="2"/>
    <n v="7"/>
    <n v="46.76"/>
    <n v="327.32"/>
    <n v="80.540000000000006"/>
  </r>
  <r>
    <s v="ORD10365"/>
    <x v="75"/>
    <s v="Customer 016"/>
    <x v="6"/>
    <x v="2"/>
    <x v="3"/>
    <n v="1"/>
    <n v="342.61"/>
    <n v="342.61"/>
    <n v="83.7"/>
  </r>
  <r>
    <s v="ORD10201"/>
    <x v="75"/>
    <s v="Customer 025"/>
    <x v="6"/>
    <x v="2"/>
    <x v="2"/>
    <n v="1"/>
    <n v="287.27"/>
    <n v="287.27"/>
    <n v="69.459999999999994"/>
  </r>
  <r>
    <s v="ORD10113"/>
    <x v="75"/>
    <s v="Customer 079"/>
    <x v="1"/>
    <x v="0"/>
    <x v="0"/>
    <n v="7"/>
    <n v="478.04"/>
    <n v="3346.28"/>
    <n v="747.34"/>
  </r>
  <r>
    <s v="ORD10025"/>
    <x v="75"/>
    <s v="Customer 082"/>
    <x v="4"/>
    <x v="1"/>
    <x v="1"/>
    <n v="7"/>
    <n v="12.78"/>
    <n v="89.46"/>
    <n v="13.58"/>
  </r>
  <r>
    <s v="ORD10110"/>
    <x v="76"/>
    <s v="Customer 086"/>
    <x v="6"/>
    <x v="2"/>
    <x v="0"/>
    <n v="10"/>
    <n v="407.52"/>
    <n v="4075.2"/>
    <n v="826.66"/>
  </r>
  <r>
    <s v="ORD10337"/>
    <x v="77"/>
    <s v="Customer 038"/>
    <x v="7"/>
    <x v="1"/>
    <x v="1"/>
    <n v="2"/>
    <n v="81.66"/>
    <n v="163.32"/>
    <n v="36.39"/>
  </r>
  <r>
    <s v="ORD10240"/>
    <x v="78"/>
    <s v="Customer 047"/>
    <x v="1"/>
    <x v="0"/>
    <x v="0"/>
    <n v="10"/>
    <n v="641.48"/>
    <n v="6414.8"/>
    <n v="1343.58"/>
  </r>
  <r>
    <s v="ORD10173"/>
    <x v="78"/>
    <s v="Customer 032"/>
    <x v="2"/>
    <x v="1"/>
    <x v="2"/>
    <n v="9"/>
    <n v="79.540000000000006"/>
    <n v="715.86"/>
    <n v="171.42"/>
  </r>
  <r>
    <s v="ORD10495"/>
    <x v="79"/>
    <s v="Customer 045"/>
    <x v="7"/>
    <x v="1"/>
    <x v="1"/>
    <n v="7"/>
    <n v="115.7"/>
    <n v="809.9"/>
    <n v="108.21"/>
  </r>
  <r>
    <s v="ORD10451"/>
    <x v="80"/>
    <s v="Customer 040"/>
    <x v="5"/>
    <x v="1"/>
    <x v="0"/>
    <n v="5"/>
    <n v="44.41"/>
    <n v="222.05"/>
    <n v="55.51"/>
  </r>
  <r>
    <s v="ORD10323"/>
    <x v="81"/>
    <s v="Customer 003"/>
    <x v="4"/>
    <x v="1"/>
    <x v="2"/>
    <n v="2"/>
    <n v="57.47"/>
    <n v="114.94"/>
    <n v="28.22"/>
  </r>
  <r>
    <s v="ORD10408"/>
    <x v="82"/>
    <s v="Customer 022"/>
    <x v="1"/>
    <x v="0"/>
    <x v="3"/>
    <n v="7"/>
    <n v="216.42"/>
    <n v="1514.94"/>
    <n v="319.01"/>
  </r>
  <r>
    <s v="ORD10207"/>
    <x v="82"/>
    <s v="Customer 061"/>
    <x v="1"/>
    <x v="0"/>
    <x v="1"/>
    <n v="4"/>
    <n v="595.89"/>
    <n v="2383.56"/>
    <n v="206.1"/>
  </r>
  <r>
    <s v="ORD10060"/>
    <x v="83"/>
    <s v="Customer 033"/>
    <x v="7"/>
    <x v="1"/>
    <x v="2"/>
    <n v="8"/>
    <n v="60.26"/>
    <n v="482.08"/>
    <n v="65.349999999999994"/>
  </r>
  <r>
    <s v="ORD10368"/>
    <x v="84"/>
    <s v="Customer 048"/>
    <x v="3"/>
    <x v="0"/>
    <x v="1"/>
    <n v="1"/>
    <n v="165.46"/>
    <n v="165.46"/>
    <n v="43.17"/>
  </r>
  <r>
    <s v="ORD10327"/>
    <x v="84"/>
    <s v="Customer 028"/>
    <x v="2"/>
    <x v="1"/>
    <x v="0"/>
    <n v="2"/>
    <n v="58.7"/>
    <n v="117.4"/>
    <n v="26.19"/>
  </r>
  <r>
    <s v="ORD10228"/>
    <x v="84"/>
    <s v="Customer 090"/>
    <x v="5"/>
    <x v="1"/>
    <x v="1"/>
    <n v="7"/>
    <n v="136.09"/>
    <n v="952.63"/>
    <n v="167.83"/>
  </r>
  <r>
    <s v="ORD10347"/>
    <x v="85"/>
    <s v="Customer 052"/>
    <x v="2"/>
    <x v="1"/>
    <x v="1"/>
    <n v="3"/>
    <n v="20.420000000000002"/>
    <n v="61.26"/>
    <n v="5.0999999999999996"/>
  </r>
  <r>
    <s v="ORD10162"/>
    <x v="85"/>
    <s v="Customer 002"/>
    <x v="0"/>
    <x v="0"/>
    <x v="1"/>
    <n v="3"/>
    <n v="1319.62"/>
    <n v="3958.86"/>
    <n v="999.03"/>
  </r>
  <r>
    <s v="ORD10452"/>
    <x v="86"/>
    <s v="Customer 014"/>
    <x v="5"/>
    <x v="1"/>
    <x v="2"/>
    <n v="9"/>
    <n v="154.87"/>
    <n v="1393.83"/>
    <n v="192.73"/>
  </r>
  <r>
    <s v="ORD10425"/>
    <x v="86"/>
    <s v="Customer 086"/>
    <x v="1"/>
    <x v="0"/>
    <x v="1"/>
    <n v="2"/>
    <n v="552.09"/>
    <n v="1104.18"/>
    <n v="125.5"/>
  </r>
  <r>
    <s v="ORD10420"/>
    <x v="86"/>
    <s v="Customer 004"/>
    <x v="5"/>
    <x v="1"/>
    <x v="2"/>
    <n v="8"/>
    <n v="127.87"/>
    <n v="1022.96"/>
    <n v="232.94"/>
  </r>
  <r>
    <s v="ORD10274"/>
    <x v="86"/>
    <s v="Customer 058"/>
    <x v="1"/>
    <x v="0"/>
    <x v="0"/>
    <n v="9"/>
    <n v="239.4"/>
    <n v="2154.6"/>
    <n v="214.34"/>
  </r>
  <r>
    <s v="ORD10172"/>
    <x v="86"/>
    <s v="Customer 008"/>
    <x v="7"/>
    <x v="1"/>
    <x v="3"/>
    <n v="5"/>
    <n v="86.9"/>
    <n v="434.5"/>
    <n v="76.69"/>
  </r>
  <r>
    <s v="ORD10007"/>
    <x v="87"/>
    <s v="Customer 077"/>
    <x v="7"/>
    <x v="1"/>
    <x v="3"/>
    <n v="10"/>
    <n v="113.66"/>
    <n v="1136.5999999999999"/>
    <n v="323.5"/>
  </r>
  <r>
    <s v="ORD10268"/>
    <x v="87"/>
    <s v="Customer 001"/>
    <x v="1"/>
    <x v="0"/>
    <x v="0"/>
    <n v="9"/>
    <n v="582.39"/>
    <n v="5241.51"/>
    <n v="561.12"/>
  </r>
  <r>
    <s v="ORD10122"/>
    <x v="88"/>
    <s v="Customer 063"/>
    <x v="7"/>
    <x v="1"/>
    <x v="1"/>
    <n v="4"/>
    <n v="143.19999999999999"/>
    <n v="572.79999999999995"/>
    <n v="168.65"/>
  </r>
  <r>
    <s v="ORD10424"/>
    <x v="88"/>
    <s v="Customer 067"/>
    <x v="2"/>
    <x v="1"/>
    <x v="3"/>
    <n v="5"/>
    <n v="88.23"/>
    <n v="441.15"/>
    <n v="76.44"/>
  </r>
  <r>
    <s v="ORD10066"/>
    <x v="89"/>
    <s v="Customer 028"/>
    <x v="3"/>
    <x v="0"/>
    <x v="1"/>
    <n v="4"/>
    <n v="315.61"/>
    <n v="1262.44"/>
    <n v="338.24"/>
  </r>
  <r>
    <s v="ORD10157"/>
    <x v="89"/>
    <s v="Customer 042"/>
    <x v="6"/>
    <x v="2"/>
    <x v="3"/>
    <n v="8"/>
    <n v="231.05"/>
    <n v="1848.4"/>
    <n v="397.12"/>
  </r>
  <r>
    <s v="ORD10412"/>
    <x v="89"/>
    <s v="Customer 020"/>
    <x v="1"/>
    <x v="0"/>
    <x v="1"/>
    <n v="5"/>
    <n v="199.55"/>
    <n v="997.75"/>
    <n v="159.01"/>
  </r>
  <r>
    <s v="ORD10430"/>
    <x v="90"/>
    <s v="Customer 055"/>
    <x v="4"/>
    <x v="1"/>
    <x v="3"/>
    <n v="6"/>
    <n v="15.47"/>
    <n v="92.82"/>
    <n v="11.07"/>
  </r>
  <r>
    <s v="ORD10455"/>
    <x v="90"/>
    <s v="Customer 084"/>
    <x v="7"/>
    <x v="1"/>
    <x v="3"/>
    <n v="1"/>
    <n v="124.47"/>
    <n v="124.47"/>
    <n v="20.94"/>
  </r>
  <r>
    <s v="ORD10318"/>
    <x v="90"/>
    <s v="Customer 087"/>
    <x v="0"/>
    <x v="0"/>
    <x v="0"/>
    <n v="1"/>
    <n v="1253.3699999999999"/>
    <n v="1253.3699999999999"/>
    <n v="144.19"/>
  </r>
  <r>
    <s v="ORD10385"/>
    <x v="91"/>
    <s v="Customer 009"/>
    <x v="7"/>
    <x v="1"/>
    <x v="1"/>
    <n v="6"/>
    <n v="127.53"/>
    <n v="765.18"/>
    <n v="76.3"/>
  </r>
  <r>
    <s v="ORD10243"/>
    <x v="91"/>
    <s v="Customer 075"/>
    <x v="4"/>
    <x v="1"/>
    <x v="2"/>
    <n v="5"/>
    <n v="50.27"/>
    <n v="251.35"/>
    <n v="33.21"/>
  </r>
  <r>
    <s v="ORD10278"/>
    <x v="91"/>
    <s v="Customer 015"/>
    <x v="5"/>
    <x v="1"/>
    <x v="3"/>
    <n v="5"/>
    <n v="61.85"/>
    <n v="309.25"/>
    <n v="51.78"/>
  </r>
  <r>
    <s v="ORD10176"/>
    <x v="92"/>
    <s v="Customer 094"/>
    <x v="5"/>
    <x v="1"/>
    <x v="3"/>
    <n v="5"/>
    <n v="112.45"/>
    <n v="562.25"/>
    <n v="104.26"/>
  </r>
  <r>
    <s v="ORD10357"/>
    <x v="93"/>
    <s v="Customer 068"/>
    <x v="3"/>
    <x v="0"/>
    <x v="2"/>
    <n v="5"/>
    <n v="415.44"/>
    <n v="2077.1999999999998"/>
    <n v="538.04999999999995"/>
  </r>
  <r>
    <s v="ORD10275"/>
    <x v="94"/>
    <s v="Customer 025"/>
    <x v="0"/>
    <x v="0"/>
    <x v="1"/>
    <n v="8"/>
    <n v="1009.2"/>
    <n v="8073.6"/>
    <n v="829.38"/>
  </r>
  <r>
    <s v="ORD10118"/>
    <x v="95"/>
    <s v="Customer 040"/>
    <x v="5"/>
    <x v="1"/>
    <x v="3"/>
    <n v="10"/>
    <n v="57.18"/>
    <n v="571.79999999999995"/>
    <n v="64.56"/>
  </r>
  <r>
    <s v="ORD10267"/>
    <x v="95"/>
    <s v="Customer 020"/>
    <x v="4"/>
    <x v="1"/>
    <x v="1"/>
    <n v="8"/>
    <n v="27.26"/>
    <n v="218.08"/>
    <n v="64.790000000000006"/>
  </r>
  <r>
    <s v="ORD10441"/>
    <x v="95"/>
    <s v="Customer 012"/>
    <x v="0"/>
    <x v="0"/>
    <x v="3"/>
    <n v="3"/>
    <n v="1390.27"/>
    <n v="4170.8100000000004"/>
    <n v="953.8"/>
  </r>
  <r>
    <s v="ORD10285"/>
    <x v="96"/>
    <s v="Customer 014"/>
    <x v="3"/>
    <x v="0"/>
    <x v="3"/>
    <n v="4"/>
    <n v="375.77"/>
    <n v="1503.08"/>
    <n v="204.31"/>
  </r>
  <r>
    <s v="ORD10474"/>
    <x v="96"/>
    <s v="Customer 009"/>
    <x v="4"/>
    <x v="1"/>
    <x v="2"/>
    <n v="7"/>
    <n v="33.83"/>
    <n v="236.81"/>
    <n v="42.2"/>
  </r>
  <r>
    <s v="ORD10325"/>
    <x v="97"/>
    <s v="Customer 019"/>
    <x v="5"/>
    <x v="1"/>
    <x v="3"/>
    <n v="5"/>
    <n v="154.49"/>
    <n v="772.45"/>
    <n v="110.85"/>
  </r>
  <r>
    <s v="ORD10073"/>
    <x v="97"/>
    <s v="Customer 017"/>
    <x v="0"/>
    <x v="0"/>
    <x v="2"/>
    <n v="3"/>
    <n v="1339.64"/>
    <n v="4018.92"/>
    <n v="437.64"/>
  </r>
  <r>
    <s v="ORD10333"/>
    <x v="98"/>
    <s v="Customer 073"/>
    <x v="4"/>
    <x v="1"/>
    <x v="3"/>
    <n v="8"/>
    <n v="57.76"/>
    <n v="462.08"/>
    <n v="69.209999999999994"/>
  </r>
  <r>
    <s v="ORD10177"/>
    <x v="98"/>
    <s v="Customer 070"/>
    <x v="2"/>
    <x v="1"/>
    <x v="3"/>
    <n v="9"/>
    <n v="29.14"/>
    <n v="262.26"/>
    <n v="56.51"/>
  </r>
  <r>
    <s v="ORD10477"/>
    <x v="98"/>
    <s v="Customer 049"/>
    <x v="0"/>
    <x v="0"/>
    <x v="3"/>
    <n v="10"/>
    <n v="531.88"/>
    <n v="5318.8"/>
    <n v="529.37"/>
  </r>
  <r>
    <s v="ORD10093"/>
    <x v="99"/>
    <s v="Customer 088"/>
    <x v="3"/>
    <x v="0"/>
    <x v="0"/>
    <n v="8"/>
    <n v="399.82"/>
    <n v="3198.56"/>
    <n v="367.94"/>
  </r>
  <r>
    <s v="ORD10086"/>
    <x v="99"/>
    <s v="Customer 074"/>
    <x v="2"/>
    <x v="1"/>
    <x v="1"/>
    <n v="1"/>
    <n v="38.86"/>
    <n v="38.86"/>
    <n v="9.49"/>
  </r>
  <r>
    <s v="ORD10046"/>
    <x v="99"/>
    <s v="Customer 037"/>
    <x v="4"/>
    <x v="1"/>
    <x v="1"/>
    <n v="3"/>
    <n v="19.98"/>
    <n v="59.94"/>
    <n v="11.04"/>
  </r>
  <r>
    <s v="ORD10178"/>
    <x v="99"/>
    <s v="Customer 019"/>
    <x v="2"/>
    <x v="1"/>
    <x v="2"/>
    <n v="8"/>
    <n v="53.16"/>
    <n v="425.28"/>
    <n v="64.81"/>
  </r>
  <r>
    <s v="ORD10369"/>
    <x v="100"/>
    <s v="Customer 030"/>
    <x v="2"/>
    <x v="1"/>
    <x v="3"/>
    <n v="3"/>
    <n v="67.06"/>
    <n v="201.18"/>
    <n v="35.159999999999997"/>
  </r>
  <r>
    <s v="ORD10367"/>
    <x v="100"/>
    <s v="Customer 062"/>
    <x v="5"/>
    <x v="1"/>
    <x v="0"/>
    <n v="9"/>
    <n v="120.39"/>
    <n v="1083.51"/>
    <n v="210.93"/>
  </r>
  <r>
    <s v="ORD10132"/>
    <x v="101"/>
    <s v="Customer 039"/>
    <x v="7"/>
    <x v="1"/>
    <x v="3"/>
    <n v="4"/>
    <n v="145.78"/>
    <n v="583.12"/>
    <n v="119.89"/>
  </r>
  <r>
    <s v="ORD10210"/>
    <x v="101"/>
    <s v="Customer 009"/>
    <x v="7"/>
    <x v="1"/>
    <x v="2"/>
    <n v="5"/>
    <n v="123.75"/>
    <n v="618.75"/>
    <n v="130.87"/>
  </r>
  <r>
    <s v="ORD10037"/>
    <x v="102"/>
    <s v="Customer 057"/>
    <x v="4"/>
    <x v="1"/>
    <x v="1"/>
    <n v="4"/>
    <n v="46.14"/>
    <n v="184.56"/>
    <n v="22.05"/>
  </r>
  <r>
    <s v="ORD10289"/>
    <x v="103"/>
    <s v="Customer 039"/>
    <x v="0"/>
    <x v="0"/>
    <x v="2"/>
    <n v="9"/>
    <n v="1122.0999999999999"/>
    <n v="10098.9"/>
    <n v="1087.28"/>
  </r>
  <r>
    <s v="ORD10328"/>
    <x v="104"/>
    <s v="Customer 084"/>
    <x v="6"/>
    <x v="2"/>
    <x v="1"/>
    <n v="10"/>
    <n v="194.47"/>
    <n v="1944.7"/>
    <n v="482.95"/>
  </r>
  <r>
    <s v="ORD10232"/>
    <x v="104"/>
    <s v="Customer 062"/>
    <x v="4"/>
    <x v="1"/>
    <x v="0"/>
    <n v="10"/>
    <n v="30.4"/>
    <n v="304"/>
    <n v="63.07"/>
  </r>
  <r>
    <s v="ORD10444"/>
    <x v="105"/>
    <s v="Customer 027"/>
    <x v="1"/>
    <x v="0"/>
    <x v="0"/>
    <n v="5"/>
    <n v="388.82"/>
    <n v="1944.1"/>
    <n v="465.41"/>
  </r>
  <r>
    <s v="ORD10448"/>
    <x v="106"/>
    <s v="Customer 057"/>
    <x v="5"/>
    <x v="1"/>
    <x v="1"/>
    <n v="5"/>
    <n v="54.44"/>
    <n v="272.2"/>
    <n v="57.9"/>
  </r>
  <r>
    <s v="ORD10226"/>
    <x v="106"/>
    <s v="Customer 092"/>
    <x v="3"/>
    <x v="0"/>
    <x v="0"/>
    <n v="5"/>
    <n v="464.1"/>
    <n v="2320.5"/>
    <n v="396.5"/>
  </r>
  <r>
    <s v="ORD10140"/>
    <x v="106"/>
    <s v="Customer 051"/>
    <x v="0"/>
    <x v="0"/>
    <x v="3"/>
    <n v="3"/>
    <n v="808.27"/>
    <n v="2424.81"/>
    <n v="478.98"/>
  </r>
  <r>
    <s v="ORD10216"/>
    <x v="107"/>
    <s v="Customer 011"/>
    <x v="7"/>
    <x v="1"/>
    <x v="3"/>
    <n v="4"/>
    <n v="109.15"/>
    <n v="436.6"/>
    <n v="71.8"/>
  </r>
  <r>
    <s v="ORD10249"/>
    <x v="108"/>
    <s v="Customer 069"/>
    <x v="0"/>
    <x v="0"/>
    <x v="1"/>
    <n v="4"/>
    <n v="626.97"/>
    <n v="2507.88"/>
    <n v="569.96"/>
  </r>
  <r>
    <s v="ORD10065"/>
    <x v="109"/>
    <s v="Customer 098"/>
    <x v="6"/>
    <x v="2"/>
    <x v="0"/>
    <n v="6"/>
    <n v="140.84"/>
    <n v="845.04"/>
    <n v="86.6"/>
  </r>
  <r>
    <s v="ORD10076"/>
    <x v="109"/>
    <s v="Customer 070"/>
    <x v="3"/>
    <x v="0"/>
    <x v="1"/>
    <n v="3"/>
    <n v="282.73"/>
    <n v="848.19"/>
    <n v="73.7"/>
  </r>
  <r>
    <s v="ORD10004"/>
    <x v="110"/>
    <s v="Customer 054"/>
    <x v="6"/>
    <x v="2"/>
    <x v="0"/>
    <n v="3"/>
    <n v="267.85000000000002"/>
    <n v="803.55"/>
    <n v="92.64"/>
  </r>
  <r>
    <s v="ORD10022"/>
    <x v="111"/>
    <s v="Customer 007"/>
    <x v="7"/>
    <x v="1"/>
    <x v="1"/>
    <n v="1"/>
    <n v="157.62"/>
    <n v="157.62"/>
    <n v="21.58"/>
  </r>
  <r>
    <s v="ORD10331"/>
    <x v="112"/>
    <s v="Customer 078"/>
    <x v="0"/>
    <x v="0"/>
    <x v="3"/>
    <n v="5"/>
    <n v="1257.3800000000001"/>
    <n v="6286.9"/>
    <n v="1749.66"/>
  </r>
  <r>
    <s v="ORD10080"/>
    <x v="113"/>
    <s v="Customer 085"/>
    <x v="4"/>
    <x v="1"/>
    <x v="2"/>
    <n v="5"/>
    <n v="49.08"/>
    <n v="245.4"/>
    <n v="71.7"/>
  </r>
  <r>
    <s v="ORD10422"/>
    <x v="113"/>
    <s v="Customer 076"/>
    <x v="3"/>
    <x v="0"/>
    <x v="2"/>
    <n v="2"/>
    <n v="313.56"/>
    <n v="627.12"/>
    <n v="155.94"/>
  </r>
  <r>
    <s v="ORD10435"/>
    <x v="114"/>
    <s v="Customer 006"/>
    <x v="4"/>
    <x v="1"/>
    <x v="0"/>
    <n v="8"/>
    <n v="22.95"/>
    <n v="183.6"/>
    <n v="25.06"/>
  </r>
  <r>
    <s v="ORD10211"/>
    <x v="114"/>
    <s v="Customer 050"/>
    <x v="6"/>
    <x v="2"/>
    <x v="0"/>
    <n v="5"/>
    <n v="232.2"/>
    <n v="1161"/>
    <n v="295.42"/>
  </r>
  <r>
    <s v="ORD10100"/>
    <x v="115"/>
    <s v="Customer 064"/>
    <x v="7"/>
    <x v="1"/>
    <x v="3"/>
    <n v="3"/>
    <n v="88.72"/>
    <n v="266.16000000000003"/>
    <n v="67.95"/>
  </r>
  <r>
    <s v="ORD10247"/>
    <x v="115"/>
    <s v="Customer 022"/>
    <x v="0"/>
    <x v="0"/>
    <x v="1"/>
    <n v="1"/>
    <n v="1366.38"/>
    <n v="1366.38"/>
    <n v="208.78"/>
  </r>
  <r>
    <s v="ORD10283"/>
    <x v="115"/>
    <s v="Customer 053"/>
    <x v="5"/>
    <x v="1"/>
    <x v="3"/>
    <n v="5"/>
    <n v="88.31"/>
    <n v="441.55"/>
    <n v="129.85"/>
  </r>
  <r>
    <s v="ORD10284"/>
    <x v="115"/>
    <s v="Customer 046"/>
    <x v="6"/>
    <x v="2"/>
    <x v="2"/>
    <n v="5"/>
    <n v="176.31"/>
    <n v="881.55"/>
    <n v="183.03"/>
  </r>
  <r>
    <s v="ORD10139"/>
    <x v="115"/>
    <s v="Customer 069"/>
    <x v="6"/>
    <x v="2"/>
    <x v="0"/>
    <n v="2"/>
    <n v="435.68"/>
    <n v="871.36"/>
    <n v="83.59"/>
  </r>
  <r>
    <s v="ORD10296"/>
    <x v="116"/>
    <s v="Customer 006"/>
    <x v="4"/>
    <x v="1"/>
    <x v="0"/>
    <n v="6"/>
    <n v="30.26"/>
    <n v="181.56"/>
    <n v="43.72"/>
  </r>
  <r>
    <s v="ORD10006"/>
    <x v="117"/>
    <s v="Customer 089"/>
    <x v="1"/>
    <x v="0"/>
    <x v="0"/>
    <n v="9"/>
    <n v="563.15"/>
    <n v="5068.3500000000004"/>
    <n v="671.62"/>
  </r>
  <r>
    <s v="ORD10290"/>
    <x v="117"/>
    <s v="Customer 009"/>
    <x v="1"/>
    <x v="0"/>
    <x v="1"/>
    <n v="2"/>
    <n v="535.26"/>
    <n v="1070.52"/>
    <n v="116.9"/>
  </r>
  <r>
    <s v="ORD10088"/>
    <x v="117"/>
    <s v="Customer 016"/>
    <x v="0"/>
    <x v="0"/>
    <x v="1"/>
    <n v="10"/>
    <n v="1317.08"/>
    <n v="13170.8"/>
    <n v="3569.12"/>
  </r>
  <r>
    <s v="ORD10407"/>
    <x v="118"/>
    <s v="Customer 093"/>
    <x v="5"/>
    <x v="1"/>
    <x v="3"/>
    <n v="8"/>
    <n v="151.91"/>
    <n v="1215.28"/>
    <n v="234.96"/>
  </r>
  <r>
    <s v="ORD10208"/>
    <x v="118"/>
    <s v="Customer 092"/>
    <x v="4"/>
    <x v="1"/>
    <x v="0"/>
    <n v="3"/>
    <n v="27.47"/>
    <n v="82.41"/>
    <n v="13.76"/>
  </r>
  <r>
    <s v="ORD10491"/>
    <x v="118"/>
    <s v="Customer 019"/>
    <x v="1"/>
    <x v="0"/>
    <x v="1"/>
    <n v="10"/>
    <n v="211.99"/>
    <n v="2119.9"/>
    <n v="623.91999999999996"/>
  </r>
  <r>
    <s v="ORD10264"/>
    <x v="119"/>
    <s v="Customer 039"/>
    <x v="0"/>
    <x v="0"/>
    <x v="1"/>
    <n v="2"/>
    <n v="826.75"/>
    <n v="1653.5"/>
    <n v="335.31"/>
  </r>
  <r>
    <s v="ORD10018"/>
    <x v="120"/>
    <s v="Customer 068"/>
    <x v="1"/>
    <x v="0"/>
    <x v="2"/>
    <n v="2"/>
    <n v="183.92"/>
    <n v="367.84"/>
    <n v="102.96"/>
  </r>
  <r>
    <s v="ORD10373"/>
    <x v="120"/>
    <s v="Customer 064"/>
    <x v="3"/>
    <x v="0"/>
    <x v="3"/>
    <n v="8"/>
    <n v="259.5"/>
    <n v="2076"/>
    <n v="465.09"/>
  </r>
  <r>
    <s v="ORD10127"/>
    <x v="121"/>
    <s v="Customer 044"/>
    <x v="3"/>
    <x v="0"/>
    <x v="1"/>
    <n v="3"/>
    <n v="361.39"/>
    <n v="1084.17"/>
    <n v="303.26"/>
  </r>
  <r>
    <s v="ORD10102"/>
    <x v="122"/>
    <s v="Customer 049"/>
    <x v="3"/>
    <x v="0"/>
    <x v="2"/>
    <n v="3"/>
    <n v="173.32"/>
    <n v="519.96"/>
    <n v="145.9"/>
  </r>
  <r>
    <s v="ORD10034"/>
    <x v="123"/>
    <s v="Customer 042"/>
    <x v="3"/>
    <x v="0"/>
    <x v="3"/>
    <n v="7"/>
    <n v="151.86000000000001"/>
    <n v="1063.02"/>
    <n v="186.13"/>
  </r>
  <r>
    <s v="ORD10036"/>
    <x v="123"/>
    <s v="Customer 014"/>
    <x v="7"/>
    <x v="1"/>
    <x v="0"/>
    <n v="4"/>
    <n v="103.61"/>
    <n v="414.44"/>
    <n v="68.91"/>
  </r>
  <r>
    <s v="ORD10399"/>
    <x v="123"/>
    <s v="Customer 054"/>
    <x v="1"/>
    <x v="0"/>
    <x v="1"/>
    <n v="2"/>
    <n v="401.94"/>
    <n v="803.88"/>
    <n v="139.38999999999999"/>
  </r>
  <r>
    <s v="ORD10401"/>
    <x v="124"/>
    <s v="Customer 046"/>
    <x v="1"/>
    <x v="0"/>
    <x v="2"/>
    <n v="3"/>
    <n v="397.1"/>
    <n v="1191.3"/>
    <n v="309.10000000000002"/>
  </r>
  <r>
    <s v="ORD10082"/>
    <x v="125"/>
    <s v="Customer 002"/>
    <x v="4"/>
    <x v="1"/>
    <x v="0"/>
    <n v="5"/>
    <n v="47.53"/>
    <n v="237.65"/>
    <n v="42.14"/>
  </r>
  <r>
    <s v="ORD10254"/>
    <x v="125"/>
    <s v="Customer 035"/>
    <x v="7"/>
    <x v="1"/>
    <x v="0"/>
    <n v="4"/>
    <n v="140.38999999999999"/>
    <n v="561.55999999999995"/>
    <n v="76.12"/>
  </r>
  <r>
    <s v="ORD10150"/>
    <x v="125"/>
    <s v="Customer 072"/>
    <x v="1"/>
    <x v="0"/>
    <x v="0"/>
    <n v="2"/>
    <n v="488.34"/>
    <n v="976.68"/>
    <n v="86.98"/>
  </r>
  <r>
    <s v="ORD10432"/>
    <x v="126"/>
    <s v="Customer 072"/>
    <x v="5"/>
    <x v="1"/>
    <x v="0"/>
    <n v="4"/>
    <n v="54.93"/>
    <n v="219.72"/>
    <n v="28.71"/>
  </r>
  <r>
    <s v="ORD10398"/>
    <x v="127"/>
    <s v="Customer 076"/>
    <x v="5"/>
    <x v="1"/>
    <x v="2"/>
    <n v="2"/>
    <n v="102.42"/>
    <n v="204.84"/>
    <n v="57.75"/>
  </r>
  <r>
    <s v="ORD10498"/>
    <x v="128"/>
    <s v="Customer 019"/>
    <x v="4"/>
    <x v="1"/>
    <x v="1"/>
    <n v="9"/>
    <n v="53.22"/>
    <n v="478.98"/>
    <n v="65.400000000000006"/>
  </r>
  <r>
    <s v="ORD10043"/>
    <x v="128"/>
    <s v="Customer 003"/>
    <x v="3"/>
    <x v="0"/>
    <x v="0"/>
    <n v="2"/>
    <n v="221.78"/>
    <n v="443.56"/>
    <n v="51.72"/>
  </r>
  <r>
    <s v="ORD10151"/>
    <x v="129"/>
    <s v="Customer 055"/>
    <x v="2"/>
    <x v="1"/>
    <x v="0"/>
    <n v="3"/>
    <n v="28.18"/>
    <n v="84.54"/>
    <n v="19.23"/>
  </r>
  <r>
    <s v="ORD10248"/>
    <x v="129"/>
    <s v="Customer 017"/>
    <x v="0"/>
    <x v="0"/>
    <x v="1"/>
    <n v="6"/>
    <n v="1349.97"/>
    <n v="8099.82"/>
    <n v="1447.69"/>
  </r>
  <r>
    <s v="ORD10056"/>
    <x v="129"/>
    <s v="Customer 050"/>
    <x v="4"/>
    <x v="1"/>
    <x v="1"/>
    <n v="6"/>
    <n v="28.46"/>
    <n v="170.76"/>
    <n v="16.13"/>
  </r>
  <r>
    <s v="ORD10031"/>
    <x v="130"/>
    <s v="Customer 048"/>
    <x v="7"/>
    <x v="1"/>
    <x v="2"/>
    <n v="9"/>
    <n v="164.49"/>
    <n v="1480.41"/>
    <n v="160.27000000000001"/>
  </r>
  <r>
    <s v="ORD10241"/>
    <x v="131"/>
    <s v="Customer 082"/>
    <x v="3"/>
    <x v="0"/>
    <x v="0"/>
    <n v="2"/>
    <n v="344.85"/>
    <n v="689.7"/>
    <n v="146.02000000000001"/>
  </r>
  <r>
    <s v="ORD10312"/>
    <x v="132"/>
    <s v="Customer 084"/>
    <x v="6"/>
    <x v="2"/>
    <x v="2"/>
    <n v="5"/>
    <n v="223.85"/>
    <n v="1119.25"/>
    <n v="237.43"/>
  </r>
  <r>
    <s v="ORD10271"/>
    <x v="133"/>
    <s v="Customer 063"/>
    <x v="5"/>
    <x v="1"/>
    <x v="3"/>
    <n v="3"/>
    <n v="66.34"/>
    <n v="199.02"/>
    <n v="43.94"/>
  </r>
  <r>
    <s v="ORD10198"/>
    <x v="134"/>
    <s v="Customer 003"/>
    <x v="4"/>
    <x v="1"/>
    <x v="1"/>
    <n v="9"/>
    <n v="32.950000000000003"/>
    <n v="296.55"/>
    <n v="50.86"/>
  </r>
  <r>
    <s v="ORD10149"/>
    <x v="134"/>
    <s v="Customer 085"/>
    <x v="0"/>
    <x v="0"/>
    <x v="3"/>
    <n v="10"/>
    <n v="1153.49"/>
    <n v="11534.9"/>
    <n v="3007.34"/>
  </r>
  <r>
    <s v="ORD10070"/>
    <x v="134"/>
    <s v="Customer 039"/>
    <x v="5"/>
    <x v="1"/>
    <x v="2"/>
    <n v="4"/>
    <n v="142.09"/>
    <n v="568.36"/>
    <n v="150.5"/>
  </r>
  <r>
    <s v="ORD10416"/>
    <x v="134"/>
    <s v="Customer 055"/>
    <x v="0"/>
    <x v="0"/>
    <x v="2"/>
    <n v="1"/>
    <n v="858.46"/>
    <n v="858.46"/>
    <n v="116.96"/>
  </r>
  <r>
    <s v="ORD10273"/>
    <x v="135"/>
    <s v="Customer 004"/>
    <x v="1"/>
    <x v="0"/>
    <x v="1"/>
    <n v="1"/>
    <n v="585.47"/>
    <n v="585.47"/>
    <n v="70.02"/>
  </r>
  <r>
    <s v="ORD10484"/>
    <x v="135"/>
    <s v="Customer 039"/>
    <x v="5"/>
    <x v="1"/>
    <x v="2"/>
    <n v="10"/>
    <n v="123.49"/>
    <n v="1234.9000000000001"/>
    <n v="322.06"/>
  </r>
  <r>
    <s v="ORD10095"/>
    <x v="136"/>
    <s v="Customer 038"/>
    <x v="5"/>
    <x v="1"/>
    <x v="0"/>
    <n v="1"/>
    <n v="114.89"/>
    <n v="114.89"/>
    <n v="11.5"/>
  </r>
  <r>
    <s v="ORD10120"/>
    <x v="136"/>
    <s v="Customer 028"/>
    <x v="7"/>
    <x v="1"/>
    <x v="3"/>
    <n v="6"/>
    <n v="137.11000000000001"/>
    <n v="822.66"/>
    <n v="188.97"/>
  </r>
  <r>
    <s v="ORD10016"/>
    <x v="137"/>
    <s v="Customer 057"/>
    <x v="7"/>
    <x v="1"/>
    <x v="0"/>
    <n v="2"/>
    <n v="79.55"/>
    <n v="159.1"/>
    <n v="41.43"/>
  </r>
  <r>
    <s v="ORD10253"/>
    <x v="138"/>
    <s v="Customer 091"/>
    <x v="4"/>
    <x v="1"/>
    <x v="3"/>
    <n v="4"/>
    <n v="41.66"/>
    <n v="166.64"/>
    <n v="48.11"/>
  </r>
  <r>
    <s v="ORD10147"/>
    <x v="138"/>
    <s v="Customer 041"/>
    <x v="2"/>
    <x v="1"/>
    <x v="3"/>
    <n v="1"/>
    <n v="28.06"/>
    <n v="28.06"/>
    <n v="3.48"/>
  </r>
  <r>
    <s v="ORD10483"/>
    <x v="139"/>
    <s v="Customer 059"/>
    <x v="7"/>
    <x v="1"/>
    <x v="3"/>
    <n v="2"/>
    <n v="30.76"/>
    <n v="61.52"/>
    <n v="10.64"/>
  </r>
  <r>
    <s v="ORD10263"/>
    <x v="140"/>
    <s v="Customer 047"/>
    <x v="7"/>
    <x v="1"/>
    <x v="3"/>
    <n v="3"/>
    <n v="153.77000000000001"/>
    <n v="461.31"/>
    <n v="124.61"/>
  </r>
  <r>
    <s v="ORD10133"/>
    <x v="140"/>
    <s v="Customer 052"/>
    <x v="0"/>
    <x v="0"/>
    <x v="2"/>
    <n v="8"/>
    <n v="510.98"/>
    <n v="4087.84"/>
    <n v="343.55"/>
  </r>
  <r>
    <s v="ORD10419"/>
    <x v="140"/>
    <s v="Customer 028"/>
    <x v="1"/>
    <x v="0"/>
    <x v="1"/>
    <n v="4"/>
    <n v="451.71"/>
    <n v="1806.84"/>
    <n v="482.89"/>
  </r>
  <r>
    <s v="ORD10156"/>
    <x v="140"/>
    <s v="Customer 082"/>
    <x v="3"/>
    <x v="0"/>
    <x v="2"/>
    <n v="10"/>
    <n v="419.94"/>
    <n v="4199.3999999999996"/>
    <n v="905.61"/>
  </r>
  <r>
    <s v="ORD10421"/>
    <x v="140"/>
    <s v="Customer 022"/>
    <x v="3"/>
    <x v="0"/>
    <x v="3"/>
    <n v="5"/>
    <n v="151.16999999999999"/>
    <n v="755.85"/>
    <n v="195.08"/>
  </r>
  <r>
    <s v="ORD10315"/>
    <x v="141"/>
    <s v="Customer 088"/>
    <x v="2"/>
    <x v="1"/>
    <x v="1"/>
    <n v="6"/>
    <n v="27.23"/>
    <n v="163.38"/>
    <n v="37.04"/>
  </r>
  <r>
    <s v="ORD10394"/>
    <x v="142"/>
    <s v="Customer 045"/>
    <x v="1"/>
    <x v="0"/>
    <x v="2"/>
    <n v="7"/>
    <n v="598.07000000000005"/>
    <n v="4186.49"/>
    <n v="504.93"/>
  </r>
  <r>
    <s v="ORD10366"/>
    <x v="142"/>
    <s v="Customer 093"/>
    <x v="6"/>
    <x v="2"/>
    <x v="1"/>
    <n v="5"/>
    <n v="118.06"/>
    <n v="590.29999999999995"/>
    <n v="140.13999999999999"/>
  </r>
  <r>
    <s v="ORD10330"/>
    <x v="142"/>
    <s v="Customer 071"/>
    <x v="1"/>
    <x v="0"/>
    <x v="2"/>
    <n v="2"/>
    <n v="264.25"/>
    <n v="528.5"/>
    <n v="93.23"/>
  </r>
  <r>
    <s v="ORD10487"/>
    <x v="143"/>
    <s v="Customer 039"/>
    <x v="2"/>
    <x v="1"/>
    <x v="2"/>
    <n v="3"/>
    <n v="96.97"/>
    <n v="290.91000000000003"/>
    <n v="86.07"/>
  </r>
  <r>
    <s v="ORD10152"/>
    <x v="143"/>
    <s v="Customer 009"/>
    <x v="2"/>
    <x v="1"/>
    <x v="1"/>
    <n v="2"/>
    <n v="93.5"/>
    <n v="187"/>
    <n v="54.11"/>
  </r>
  <r>
    <s v="ORD10381"/>
    <x v="143"/>
    <s v="Customer 044"/>
    <x v="1"/>
    <x v="0"/>
    <x v="1"/>
    <n v="6"/>
    <n v="208.54"/>
    <n v="1251.24"/>
    <n v="284.56"/>
  </r>
  <r>
    <s v="ORD10402"/>
    <x v="143"/>
    <s v="Customer 047"/>
    <x v="4"/>
    <x v="1"/>
    <x v="2"/>
    <n v="2"/>
    <n v="33.1"/>
    <n v="66.2"/>
    <n v="10.74"/>
  </r>
  <r>
    <s v="ORD10313"/>
    <x v="144"/>
    <s v="Customer 025"/>
    <x v="4"/>
    <x v="1"/>
    <x v="0"/>
    <n v="9"/>
    <n v="57.93"/>
    <n v="521.37"/>
    <n v="149.63"/>
  </r>
  <r>
    <s v="ORD10103"/>
    <x v="145"/>
    <s v="Customer 064"/>
    <x v="3"/>
    <x v="0"/>
    <x v="3"/>
    <n v="5"/>
    <n v="230.16"/>
    <n v="1150.8"/>
    <n v="337.01"/>
  </r>
  <r>
    <s v="ORD10244"/>
    <x v="145"/>
    <s v="Customer 057"/>
    <x v="0"/>
    <x v="0"/>
    <x v="0"/>
    <n v="6"/>
    <n v="1389.86"/>
    <n v="8339.16"/>
    <n v="1097.67"/>
  </r>
  <r>
    <s v="ORD10017"/>
    <x v="145"/>
    <s v="Customer 021"/>
    <x v="4"/>
    <x v="1"/>
    <x v="1"/>
    <n v="10"/>
    <n v="56.68"/>
    <n v="566.79999999999995"/>
    <n v="73.849999999999994"/>
  </r>
  <r>
    <s v="ORD10123"/>
    <x v="146"/>
    <s v="Customer 066"/>
    <x v="3"/>
    <x v="0"/>
    <x v="3"/>
    <n v="2"/>
    <n v="186.02"/>
    <n v="372.04"/>
    <n v="88.85"/>
  </r>
  <r>
    <s v="ORD10317"/>
    <x v="146"/>
    <s v="Customer 026"/>
    <x v="2"/>
    <x v="1"/>
    <x v="3"/>
    <n v="9"/>
    <n v="25.46"/>
    <n v="229.14"/>
    <n v="35.9"/>
  </r>
  <r>
    <s v="ORD10153"/>
    <x v="146"/>
    <s v="Customer 047"/>
    <x v="0"/>
    <x v="0"/>
    <x v="3"/>
    <n v="3"/>
    <n v="1211.08"/>
    <n v="3633.24"/>
    <n v="389.95"/>
  </r>
  <r>
    <s v="ORD10414"/>
    <x v="147"/>
    <s v="Customer 051"/>
    <x v="0"/>
    <x v="0"/>
    <x v="2"/>
    <n v="10"/>
    <n v="1022.68"/>
    <n v="10226.799999999999"/>
    <n v="2550.44"/>
  </r>
  <r>
    <s v="ORD10174"/>
    <x v="147"/>
    <s v="Customer 048"/>
    <x v="4"/>
    <x v="1"/>
    <x v="3"/>
    <n v="4"/>
    <n v="20.28"/>
    <n v="81.12"/>
    <n v="17.079999999999998"/>
  </r>
  <r>
    <s v="ORD10468"/>
    <x v="147"/>
    <s v="Customer 039"/>
    <x v="0"/>
    <x v="0"/>
    <x v="3"/>
    <n v="1"/>
    <n v="531.38"/>
    <n v="531.38"/>
    <n v="95.92"/>
  </r>
  <r>
    <s v="ORD10019"/>
    <x v="148"/>
    <s v="Customer 050"/>
    <x v="1"/>
    <x v="0"/>
    <x v="1"/>
    <n v="10"/>
    <n v="297.17"/>
    <n v="2971.7"/>
    <n v="238.47"/>
  </r>
  <r>
    <s v="ORD10159"/>
    <x v="148"/>
    <s v="Customer 084"/>
    <x v="0"/>
    <x v="0"/>
    <x v="3"/>
    <n v="10"/>
    <n v="569.59"/>
    <n v="5695.9"/>
    <n v="1627.57"/>
  </r>
  <r>
    <s v="ORD10456"/>
    <x v="149"/>
    <s v="Customer 056"/>
    <x v="2"/>
    <x v="1"/>
    <x v="3"/>
    <n v="10"/>
    <n v="37.31"/>
    <n v="373.1"/>
    <n v="59.97"/>
  </r>
  <r>
    <s v="ORD10438"/>
    <x v="149"/>
    <s v="Customer 082"/>
    <x v="1"/>
    <x v="0"/>
    <x v="3"/>
    <n v="3"/>
    <n v="639.78"/>
    <n v="1919.34"/>
    <n v="213.41"/>
  </r>
  <r>
    <s v="ORD10433"/>
    <x v="149"/>
    <s v="Customer 087"/>
    <x v="7"/>
    <x v="1"/>
    <x v="0"/>
    <n v="8"/>
    <n v="173.46"/>
    <n v="1387.68"/>
    <n v="173.96"/>
  </r>
  <r>
    <s v="ORD10194"/>
    <x v="150"/>
    <s v="Customer 059"/>
    <x v="6"/>
    <x v="2"/>
    <x v="2"/>
    <n v="9"/>
    <n v="177.03"/>
    <n v="1593.27"/>
    <n v="198.82"/>
  </r>
  <r>
    <s v="ORD10204"/>
    <x v="150"/>
    <s v="Customer 026"/>
    <x v="0"/>
    <x v="0"/>
    <x v="2"/>
    <n v="3"/>
    <n v="778.94"/>
    <n v="2336.8200000000002"/>
    <n v="466.26"/>
  </r>
  <r>
    <s v="ORD10378"/>
    <x v="151"/>
    <s v="Customer 048"/>
    <x v="0"/>
    <x v="0"/>
    <x v="0"/>
    <n v="10"/>
    <n v="879.59"/>
    <n v="8795.9"/>
    <n v="1025.54"/>
  </r>
  <r>
    <s v="ORD10293"/>
    <x v="152"/>
    <s v="Customer 079"/>
    <x v="0"/>
    <x v="0"/>
    <x v="0"/>
    <n v="1"/>
    <n v="1233.55"/>
    <n v="1233.55"/>
    <n v="297.58"/>
  </r>
  <r>
    <s v="ORD10189"/>
    <x v="152"/>
    <s v="Customer 013"/>
    <x v="6"/>
    <x v="2"/>
    <x v="1"/>
    <n v="1"/>
    <n v="157.93"/>
    <n v="157.93"/>
    <n v="29.77"/>
  </r>
  <r>
    <s v="ORD10047"/>
    <x v="153"/>
    <s v="Customer 088"/>
    <x v="1"/>
    <x v="0"/>
    <x v="1"/>
    <n v="9"/>
    <n v="562.85"/>
    <n v="5065.6499999999996"/>
    <n v="469.8"/>
  </r>
  <r>
    <s v="ORD10355"/>
    <x v="154"/>
    <s v="Customer 094"/>
    <x v="1"/>
    <x v="0"/>
    <x v="1"/>
    <n v="6"/>
    <n v="225.09"/>
    <n v="1350.54"/>
    <n v="359.75"/>
  </r>
  <r>
    <s v="ORD10406"/>
    <x v="155"/>
    <s v="Customer 052"/>
    <x v="4"/>
    <x v="1"/>
    <x v="0"/>
    <n v="1"/>
    <n v="29.2"/>
    <n v="29.2"/>
    <n v="6.43"/>
  </r>
  <r>
    <s v="ORD10217"/>
    <x v="155"/>
    <s v="Customer 066"/>
    <x v="4"/>
    <x v="1"/>
    <x v="0"/>
    <n v="5"/>
    <n v="36.72"/>
    <n v="183.6"/>
    <n v="33.5"/>
  </r>
  <r>
    <s v="ORD10364"/>
    <x v="155"/>
    <s v="Customer 055"/>
    <x v="3"/>
    <x v="0"/>
    <x v="1"/>
    <n v="3"/>
    <n v="376.33"/>
    <n v="1128.99"/>
    <n v="226.78"/>
  </r>
  <r>
    <s v="ORD10270"/>
    <x v="156"/>
    <s v="Customer 087"/>
    <x v="2"/>
    <x v="1"/>
    <x v="1"/>
    <n v="1"/>
    <n v="88.89"/>
    <n v="88.89"/>
    <n v="8.1199999999999992"/>
  </r>
  <r>
    <s v="ORD10305"/>
    <x v="156"/>
    <s v="Customer 100"/>
    <x v="3"/>
    <x v="0"/>
    <x v="0"/>
    <n v="8"/>
    <n v="371.58"/>
    <n v="2972.64"/>
    <n v="397.48"/>
  </r>
  <r>
    <s v="ORD10144"/>
    <x v="156"/>
    <s v="Customer 008"/>
    <x v="1"/>
    <x v="0"/>
    <x v="3"/>
    <n v="5"/>
    <n v="499.77"/>
    <n v="2498.85"/>
    <n v="396.61"/>
  </r>
  <r>
    <s v="ORD10146"/>
    <x v="156"/>
    <s v="Customer 092"/>
    <x v="6"/>
    <x v="2"/>
    <x v="1"/>
    <n v="1"/>
    <n v="148.69"/>
    <n v="148.69"/>
    <n v="43.87"/>
  </r>
  <r>
    <s v="ORD10493"/>
    <x v="156"/>
    <s v="Customer 077"/>
    <x v="0"/>
    <x v="0"/>
    <x v="3"/>
    <n v="9"/>
    <n v="964.47"/>
    <n v="8680.23"/>
    <n v="2102.1799999999998"/>
  </r>
  <r>
    <s v="ORD10193"/>
    <x v="157"/>
    <s v="Customer 095"/>
    <x v="0"/>
    <x v="0"/>
    <x v="3"/>
    <n v="3"/>
    <n v="749.83"/>
    <n v="2249.4899999999998"/>
    <n v="387.02"/>
  </r>
  <r>
    <s v="ORD10035"/>
    <x v="158"/>
    <s v="Customer 026"/>
    <x v="5"/>
    <x v="1"/>
    <x v="2"/>
    <n v="9"/>
    <n v="157.01"/>
    <n v="1413.09"/>
    <n v="374.22"/>
  </r>
  <r>
    <s v="ORD10391"/>
    <x v="158"/>
    <s v="Customer 096"/>
    <x v="2"/>
    <x v="1"/>
    <x v="1"/>
    <n v="5"/>
    <n v="55.28"/>
    <n v="276.39999999999998"/>
    <n v="29.6"/>
  </r>
  <r>
    <s v="ORD10242"/>
    <x v="159"/>
    <s v="Customer 058"/>
    <x v="6"/>
    <x v="2"/>
    <x v="0"/>
    <n v="5"/>
    <n v="352.28"/>
    <n v="1761.4"/>
    <n v="294.62"/>
  </r>
  <r>
    <s v="ORD10135"/>
    <x v="160"/>
    <s v="Customer 089"/>
    <x v="6"/>
    <x v="2"/>
    <x v="0"/>
    <n v="2"/>
    <n v="297.93"/>
    <n v="595.86"/>
    <n v="75.239999999999995"/>
  </r>
  <r>
    <s v="ORD10345"/>
    <x v="160"/>
    <s v="Customer 064"/>
    <x v="2"/>
    <x v="1"/>
    <x v="3"/>
    <n v="2"/>
    <n v="20.190000000000001"/>
    <n v="40.380000000000003"/>
    <n v="8.08"/>
  </r>
  <r>
    <s v="ORD10499"/>
    <x v="161"/>
    <s v="Customer 076"/>
    <x v="0"/>
    <x v="0"/>
    <x v="2"/>
    <n v="1"/>
    <n v="1160.52"/>
    <n v="1160.52"/>
    <n v="294"/>
  </r>
  <r>
    <s v="ORD10229"/>
    <x v="161"/>
    <s v="Customer 021"/>
    <x v="0"/>
    <x v="0"/>
    <x v="1"/>
    <n v="2"/>
    <n v="1381.04"/>
    <n v="2762.08"/>
    <n v="280.14999999999998"/>
  </r>
  <r>
    <s v="ORD10497"/>
    <x v="161"/>
    <s v="Customer 040"/>
    <x v="2"/>
    <x v="1"/>
    <x v="3"/>
    <n v="10"/>
    <n v="63.5"/>
    <n v="635"/>
    <n v="63.78"/>
  </r>
  <r>
    <s v="ORD10168"/>
    <x v="162"/>
    <s v="Customer 040"/>
    <x v="6"/>
    <x v="2"/>
    <x v="0"/>
    <n v="2"/>
    <n v="216.25"/>
    <n v="432.5"/>
    <n v="109.18"/>
  </r>
  <r>
    <s v="ORD10388"/>
    <x v="162"/>
    <s v="Customer 081"/>
    <x v="6"/>
    <x v="2"/>
    <x v="1"/>
    <n v="1"/>
    <n v="268.37"/>
    <n v="268.37"/>
    <n v="79.14"/>
  </r>
  <r>
    <s v="ORD10116"/>
    <x v="162"/>
    <s v="Customer 014"/>
    <x v="4"/>
    <x v="1"/>
    <x v="2"/>
    <n v="5"/>
    <n v="45.35"/>
    <n v="226.75"/>
    <n v="39.75"/>
  </r>
  <r>
    <s v="ORD10277"/>
    <x v="163"/>
    <s v="Customer 038"/>
    <x v="0"/>
    <x v="0"/>
    <x v="1"/>
    <n v="6"/>
    <n v="923.96"/>
    <n v="5543.76"/>
    <n v="1282.8599999999999"/>
  </r>
  <r>
    <s v="ORD10361"/>
    <x v="164"/>
    <s v="Customer 002"/>
    <x v="4"/>
    <x v="1"/>
    <x v="1"/>
    <n v="5"/>
    <n v="41.86"/>
    <n v="209.3"/>
    <n v="28.07"/>
  </r>
  <r>
    <s v="ORD10231"/>
    <x v="164"/>
    <s v="Customer 090"/>
    <x v="5"/>
    <x v="1"/>
    <x v="3"/>
    <n v="10"/>
    <n v="144.04"/>
    <n v="1440.4"/>
    <n v="303.12"/>
  </r>
  <r>
    <s v="ORD10292"/>
    <x v="165"/>
    <s v="Customer 077"/>
    <x v="2"/>
    <x v="1"/>
    <x v="1"/>
    <n v="1"/>
    <n v="62.37"/>
    <n v="62.37"/>
    <n v="17.89"/>
  </r>
  <r>
    <s v="ORD10338"/>
    <x v="165"/>
    <s v="Customer 053"/>
    <x v="2"/>
    <x v="1"/>
    <x v="1"/>
    <n v="1"/>
    <n v="48.12"/>
    <n v="48.12"/>
    <n v="7.33"/>
  </r>
  <r>
    <s v="ORD10003"/>
    <x v="166"/>
    <s v="Customer 016"/>
    <x v="7"/>
    <x v="1"/>
    <x v="0"/>
    <n v="1"/>
    <n v="127.32"/>
    <n v="127.32"/>
    <n v="14.59"/>
  </r>
  <r>
    <s v="ORD10258"/>
    <x v="166"/>
    <s v="Customer 034"/>
    <x v="5"/>
    <x v="1"/>
    <x v="0"/>
    <n v="7"/>
    <n v="117.15"/>
    <n v="820.05"/>
    <n v="129.96"/>
  </r>
  <r>
    <s v="ORD10166"/>
    <x v="167"/>
    <s v="Customer 003"/>
    <x v="0"/>
    <x v="0"/>
    <x v="1"/>
    <n v="10"/>
    <n v="667.69"/>
    <n v="6676.9"/>
    <n v="1346.47"/>
  </r>
  <r>
    <s v="ORD10372"/>
    <x v="167"/>
    <s v="Customer 011"/>
    <x v="1"/>
    <x v="0"/>
    <x v="3"/>
    <n v="1"/>
    <n v="426.07"/>
    <n v="426.07"/>
    <n v="123.57"/>
  </r>
  <r>
    <s v="ORD10417"/>
    <x v="168"/>
    <s v="Customer 071"/>
    <x v="7"/>
    <x v="1"/>
    <x v="1"/>
    <n v="10"/>
    <n v="43.75"/>
    <n v="437.5"/>
    <n v="64.069999999999993"/>
  </r>
  <r>
    <s v="ORD10215"/>
    <x v="168"/>
    <s v="Customer 044"/>
    <x v="2"/>
    <x v="1"/>
    <x v="2"/>
    <n v="5"/>
    <n v="77.12"/>
    <n v="385.6"/>
    <n v="61.32"/>
  </r>
  <r>
    <s v="ORD10392"/>
    <x v="169"/>
    <s v="Customer 065"/>
    <x v="2"/>
    <x v="1"/>
    <x v="1"/>
    <n v="2"/>
    <n v="52.36"/>
    <n v="104.72"/>
    <n v="28.18"/>
  </r>
  <r>
    <s v="ORD10326"/>
    <x v="169"/>
    <s v="Customer 073"/>
    <x v="5"/>
    <x v="1"/>
    <x v="2"/>
    <n v="9"/>
    <n v="56.2"/>
    <n v="505.8"/>
    <n v="52.61"/>
  </r>
  <r>
    <s v="ORD10130"/>
    <x v="169"/>
    <s v="Customer 099"/>
    <x v="4"/>
    <x v="1"/>
    <x v="1"/>
    <n v="8"/>
    <n v="34.32"/>
    <n v="274.56"/>
    <n v="30.78"/>
  </r>
  <r>
    <s v="ORD10375"/>
    <x v="170"/>
    <s v="Customer 085"/>
    <x v="0"/>
    <x v="0"/>
    <x v="0"/>
    <n v="8"/>
    <n v="1157.92"/>
    <n v="9263.36"/>
    <n v="1142.8599999999999"/>
  </r>
  <r>
    <s v="ORD10137"/>
    <x v="170"/>
    <s v="Customer 043"/>
    <x v="0"/>
    <x v="0"/>
    <x v="3"/>
    <n v="4"/>
    <n v="1039.1300000000001"/>
    <n v="4156.5200000000004"/>
    <n v="1041.94"/>
  </r>
  <r>
    <s v="ORD10119"/>
    <x v="171"/>
    <s v="Customer 058"/>
    <x v="1"/>
    <x v="0"/>
    <x v="2"/>
    <n v="10"/>
    <n v="286.36"/>
    <n v="2863.6"/>
    <n v="521.78"/>
  </r>
  <r>
    <s v="ORD10475"/>
    <x v="171"/>
    <s v="Customer 088"/>
    <x v="2"/>
    <x v="1"/>
    <x v="3"/>
    <n v="8"/>
    <n v="23.55"/>
    <n v="188.4"/>
    <n v="28.9"/>
  </r>
  <r>
    <s v="ORD10344"/>
    <x v="171"/>
    <s v="Customer 009"/>
    <x v="3"/>
    <x v="0"/>
    <x v="2"/>
    <n v="1"/>
    <n v="177.22"/>
    <n v="177.22"/>
    <n v="37.43"/>
  </r>
  <r>
    <s v="ORD10213"/>
    <x v="172"/>
    <s v="Customer 083"/>
    <x v="7"/>
    <x v="1"/>
    <x v="0"/>
    <n v="9"/>
    <n v="118.12"/>
    <n v="1063.08"/>
    <n v="317.08"/>
  </r>
  <r>
    <s v="ORD10186"/>
    <x v="172"/>
    <s v="Customer 063"/>
    <x v="7"/>
    <x v="1"/>
    <x v="2"/>
    <n v="8"/>
    <n v="166.91"/>
    <n v="1335.28"/>
    <n v="298.73"/>
  </r>
  <r>
    <s v="ORD10165"/>
    <x v="172"/>
    <s v="Customer 003"/>
    <x v="3"/>
    <x v="0"/>
    <x v="2"/>
    <n v="4"/>
    <n v="207.93"/>
    <n v="831.72"/>
    <n v="187.45"/>
  </r>
  <r>
    <s v="ORD10281"/>
    <x v="173"/>
    <s v="Customer 099"/>
    <x v="4"/>
    <x v="1"/>
    <x v="0"/>
    <n v="5"/>
    <n v="47.08"/>
    <n v="235.4"/>
    <n v="19.73"/>
  </r>
  <r>
    <s v="ORD10167"/>
    <x v="173"/>
    <s v="Customer 027"/>
    <x v="1"/>
    <x v="0"/>
    <x v="0"/>
    <n v="5"/>
    <n v="615.5"/>
    <n v="3077.5"/>
    <n v="650.72"/>
  </r>
  <r>
    <s v="ORD10350"/>
    <x v="174"/>
    <s v="Customer 075"/>
    <x v="6"/>
    <x v="2"/>
    <x v="3"/>
    <n v="7"/>
    <n v="382.6"/>
    <n v="2678.2"/>
    <n v="592.86"/>
  </r>
  <r>
    <s v="ORD10297"/>
    <x v="175"/>
    <s v="Customer 091"/>
    <x v="5"/>
    <x v="1"/>
    <x v="0"/>
    <n v="3"/>
    <n v="99.7"/>
    <n v="299.10000000000002"/>
    <n v="34.200000000000003"/>
  </r>
  <r>
    <s v="ORD10291"/>
    <x v="176"/>
    <s v="Customer 099"/>
    <x v="0"/>
    <x v="0"/>
    <x v="0"/>
    <n v="9"/>
    <n v="1240.33"/>
    <n v="11162.97"/>
    <n v="1245.56"/>
  </r>
  <r>
    <s v="ORD10008"/>
    <x v="177"/>
    <s v="Customer 070"/>
    <x v="7"/>
    <x v="1"/>
    <x v="0"/>
    <n v="6"/>
    <n v="117.98"/>
    <n v="707.88"/>
    <n v="73.11"/>
  </r>
  <r>
    <s v="ORD10288"/>
    <x v="178"/>
    <s v="Customer 017"/>
    <x v="7"/>
    <x v="1"/>
    <x v="3"/>
    <n v="4"/>
    <n v="165.09"/>
    <n v="660.36"/>
    <n v="130.15"/>
  </r>
  <r>
    <s v="ORD10063"/>
    <x v="178"/>
    <s v="Customer 061"/>
    <x v="7"/>
    <x v="1"/>
    <x v="2"/>
    <n v="7"/>
    <n v="50.82"/>
    <n v="355.74"/>
    <n v="65.13"/>
  </r>
  <r>
    <s v="ORD10028"/>
    <x v="179"/>
    <s v="Customer 020"/>
    <x v="3"/>
    <x v="0"/>
    <x v="2"/>
    <n v="10"/>
    <n v="156.38"/>
    <n v="1563.8"/>
    <n v="254.7"/>
  </r>
  <r>
    <s v="ORD10436"/>
    <x v="180"/>
    <s v="Customer 086"/>
    <x v="1"/>
    <x v="0"/>
    <x v="0"/>
    <n v="9"/>
    <n v="486.05"/>
    <n v="4374.45"/>
    <n v="958.19"/>
  </r>
  <r>
    <s v="ORD10145"/>
    <x v="181"/>
    <s v="Customer 024"/>
    <x v="1"/>
    <x v="0"/>
    <x v="0"/>
    <n v="3"/>
    <n v="654.16"/>
    <n v="1962.48"/>
    <n v="296.06"/>
  </r>
  <r>
    <s v="ORD10184"/>
    <x v="181"/>
    <s v="Customer 016"/>
    <x v="2"/>
    <x v="1"/>
    <x v="2"/>
    <n v="1"/>
    <n v="66.97"/>
    <n v="66.97"/>
    <n v="7.74"/>
  </r>
  <r>
    <s v="ORD10360"/>
    <x v="182"/>
    <s v="Customer 008"/>
    <x v="2"/>
    <x v="1"/>
    <x v="3"/>
    <n v="5"/>
    <n v="77.930000000000007"/>
    <n v="389.65"/>
    <n v="76.319999999999993"/>
  </r>
  <r>
    <s v="ORD10026"/>
    <x v="183"/>
    <s v="Customer 032"/>
    <x v="5"/>
    <x v="1"/>
    <x v="3"/>
    <n v="10"/>
    <n v="141.08000000000001"/>
    <n v="1410.8"/>
    <n v="286.63"/>
  </r>
  <r>
    <s v="ORD10460"/>
    <x v="184"/>
    <s v="Customer 049"/>
    <x v="2"/>
    <x v="1"/>
    <x v="1"/>
    <n v="9"/>
    <n v="40.82"/>
    <n v="367.38"/>
    <n v="96.62"/>
  </r>
  <r>
    <s v="ORD10136"/>
    <x v="185"/>
    <s v="Customer 050"/>
    <x v="7"/>
    <x v="1"/>
    <x v="2"/>
    <n v="1"/>
    <n v="137.43"/>
    <n v="137.43"/>
    <n v="21.46"/>
  </r>
  <r>
    <s v="ORD10190"/>
    <x v="186"/>
    <s v="Customer 034"/>
    <x v="5"/>
    <x v="1"/>
    <x v="1"/>
    <n v="7"/>
    <n v="44.07"/>
    <n v="308.49"/>
    <n v="30.21"/>
  </r>
  <r>
    <s v="ORD10013"/>
    <x v="187"/>
    <s v="Customer 056"/>
    <x v="2"/>
    <x v="1"/>
    <x v="2"/>
    <n v="2"/>
    <n v="68.599999999999994"/>
    <n v="137.19999999999999"/>
    <n v="25.03"/>
  </r>
  <r>
    <s v="ORD10427"/>
    <x v="188"/>
    <s v="Customer 088"/>
    <x v="0"/>
    <x v="0"/>
    <x v="1"/>
    <n v="9"/>
    <n v="749.54"/>
    <n v="6745.86"/>
    <n v="1829.73"/>
  </r>
  <r>
    <s v="ORD10426"/>
    <x v="188"/>
    <s v="Customer 066"/>
    <x v="7"/>
    <x v="1"/>
    <x v="2"/>
    <n v="3"/>
    <n v="118.37"/>
    <n v="355.11"/>
    <n v="46.79"/>
  </r>
  <r>
    <s v="ORD10106"/>
    <x v="189"/>
    <s v="Customer 021"/>
    <x v="3"/>
    <x v="0"/>
    <x v="1"/>
    <n v="5"/>
    <n v="266.49"/>
    <n v="1332.45"/>
    <n v="106.96"/>
  </r>
  <r>
    <s v="ORD10163"/>
    <x v="189"/>
    <s v="Customer 007"/>
    <x v="1"/>
    <x v="0"/>
    <x v="1"/>
    <n v="9"/>
    <n v="243.86"/>
    <n v="2194.7399999999998"/>
    <n v="471.2"/>
  </r>
  <r>
    <s v="ORD10053"/>
    <x v="190"/>
    <s v="Customer 061"/>
    <x v="2"/>
    <x v="1"/>
    <x v="0"/>
    <n v="1"/>
    <n v="94.56"/>
    <n v="94.56"/>
    <n v="21.04"/>
  </r>
  <r>
    <s v="ORD10096"/>
    <x v="190"/>
    <s v="Customer 060"/>
    <x v="5"/>
    <x v="1"/>
    <x v="1"/>
    <n v="7"/>
    <n v="104.77"/>
    <n v="733.39"/>
    <n v="83.46"/>
  </r>
  <r>
    <s v="ORD10396"/>
    <x v="191"/>
    <s v="Customer 047"/>
    <x v="4"/>
    <x v="1"/>
    <x v="2"/>
    <n v="2"/>
    <n v="43.08"/>
    <n v="86.16"/>
    <n v="21.93"/>
  </r>
  <r>
    <s v="ORD10454"/>
    <x v="191"/>
    <s v="Customer 048"/>
    <x v="5"/>
    <x v="1"/>
    <x v="2"/>
    <n v="2"/>
    <n v="136.09"/>
    <n v="272.18"/>
    <n v="57.45"/>
  </r>
  <r>
    <s v="ORD10085"/>
    <x v="191"/>
    <s v="Customer 066"/>
    <x v="6"/>
    <x v="2"/>
    <x v="1"/>
    <n v="5"/>
    <n v="165.24"/>
    <n v="826.2"/>
    <n v="197.77"/>
  </r>
  <r>
    <s v="ORD10245"/>
    <x v="192"/>
    <s v="Customer 023"/>
    <x v="6"/>
    <x v="2"/>
    <x v="2"/>
    <n v="3"/>
    <n v="311.12"/>
    <n v="933.36"/>
    <n v="256.13"/>
  </r>
  <r>
    <s v="ORD10125"/>
    <x v="193"/>
    <s v="Customer 003"/>
    <x v="7"/>
    <x v="1"/>
    <x v="1"/>
    <n v="10"/>
    <n v="86.82"/>
    <n v="868.2"/>
    <n v="214.06"/>
  </r>
  <r>
    <s v="ORD10294"/>
    <x v="193"/>
    <s v="Customer 082"/>
    <x v="3"/>
    <x v="0"/>
    <x v="3"/>
    <n v="5"/>
    <n v="324.33"/>
    <n v="1621.65"/>
    <n v="187.66"/>
  </r>
  <r>
    <s v="ORD10155"/>
    <x v="193"/>
    <s v="Customer 048"/>
    <x v="7"/>
    <x v="1"/>
    <x v="0"/>
    <n v="1"/>
    <n v="127.71"/>
    <n v="127.71"/>
    <n v="26.93"/>
  </r>
  <r>
    <s v="ORD10233"/>
    <x v="193"/>
    <s v="Customer 033"/>
    <x v="4"/>
    <x v="1"/>
    <x v="0"/>
    <n v="1"/>
    <n v="37.590000000000003"/>
    <n v="37.590000000000003"/>
    <n v="8.49"/>
  </r>
  <r>
    <s v="ORD10049"/>
    <x v="193"/>
    <s v="Customer 019"/>
    <x v="5"/>
    <x v="1"/>
    <x v="1"/>
    <n v="6"/>
    <n v="124.87"/>
    <n v="749.22"/>
    <n v="200.44"/>
  </r>
  <r>
    <s v="ORD10012"/>
    <x v="194"/>
    <s v="Customer 100"/>
    <x v="6"/>
    <x v="2"/>
    <x v="3"/>
    <n v="8"/>
    <n v="414.88"/>
    <n v="3319.04"/>
    <n v="967.46"/>
  </r>
  <r>
    <s v="ORD10251"/>
    <x v="194"/>
    <s v="Customer 094"/>
    <x v="5"/>
    <x v="1"/>
    <x v="2"/>
    <n v="7"/>
    <n v="78.88"/>
    <n v="552.16"/>
    <n v="98.77"/>
  </r>
  <r>
    <s v="ORD10303"/>
    <x v="194"/>
    <s v="Customer 038"/>
    <x v="2"/>
    <x v="1"/>
    <x v="3"/>
    <n v="8"/>
    <n v="78.569999999999993"/>
    <n v="628.55999999999995"/>
    <n v="102.04"/>
  </r>
  <r>
    <s v="ORD10450"/>
    <x v="195"/>
    <s v="Customer 099"/>
    <x v="5"/>
    <x v="1"/>
    <x v="1"/>
    <n v="1"/>
    <n v="86.09"/>
    <n v="86.09"/>
    <n v="24.04"/>
  </r>
  <r>
    <s v="ORD10109"/>
    <x v="196"/>
    <s v="Customer 068"/>
    <x v="5"/>
    <x v="1"/>
    <x v="1"/>
    <n v="5"/>
    <n v="60.01"/>
    <n v="300.05"/>
    <n v="40.340000000000003"/>
  </r>
  <r>
    <s v="ORD10473"/>
    <x v="196"/>
    <s v="Customer 054"/>
    <x v="2"/>
    <x v="1"/>
    <x v="1"/>
    <n v="10"/>
    <n v="41.84"/>
    <n v="418.4"/>
    <n v="125.1"/>
  </r>
  <r>
    <s v="ORD10108"/>
    <x v="196"/>
    <s v="Customer 026"/>
    <x v="4"/>
    <x v="1"/>
    <x v="3"/>
    <n v="4"/>
    <n v="44.69"/>
    <n v="178.76"/>
    <n v="38.18"/>
  </r>
  <r>
    <s v="ORD10434"/>
    <x v="196"/>
    <s v="Customer 038"/>
    <x v="1"/>
    <x v="0"/>
    <x v="1"/>
    <n v="4"/>
    <n v="594.95000000000005"/>
    <n v="2379.8000000000002"/>
    <n v="524.39"/>
  </r>
  <r>
    <s v="ORD10380"/>
    <x v="196"/>
    <s v="Customer 067"/>
    <x v="0"/>
    <x v="0"/>
    <x v="3"/>
    <n v="6"/>
    <n v="1170.56"/>
    <n v="7023.36"/>
    <n v="1370.11"/>
  </r>
  <r>
    <s v="ORD10335"/>
    <x v="197"/>
    <s v="Customer 047"/>
    <x v="5"/>
    <x v="1"/>
    <x v="3"/>
    <n v="6"/>
    <n v="114.8"/>
    <n v="688.8"/>
    <n v="112.03"/>
  </r>
  <r>
    <s v="ORD10220"/>
    <x v="197"/>
    <s v="Customer 085"/>
    <x v="6"/>
    <x v="2"/>
    <x v="2"/>
    <n v="7"/>
    <n v="367.87"/>
    <n v="2575.09"/>
    <n v="645.63"/>
  </r>
  <r>
    <s v="ORD10221"/>
    <x v="197"/>
    <s v="Customer 088"/>
    <x v="2"/>
    <x v="1"/>
    <x v="3"/>
    <n v="5"/>
    <n v="28.24"/>
    <n v="141.19999999999999"/>
    <n v="23.89"/>
  </r>
  <r>
    <s v="ORD10469"/>
    <x v="197"/>
    <s v="Customer 085"/>
    <x v="7"/>
    <x v="1"/>
    <x v="2"/>
    <n v="3"/>
    <n v="164.24"/>
    <n v="492.72"/>
    <n v="60.05"/>
  </r>
  <r>
    <s v="ORD10021"/>
    <x v="198"/>
    <s v="Customer 091"/>
    <x v="5"/>
    <x v="1"/>
    <x v="0"/>
    <n v="8"/>
    <n v="98.54"/>
    <n v="788.32"/>
    <n v="194.29"/>
  </r>
  <r>
    <s v="ORD10104"/>
    <x v="199"/>
    <s v="Customer 032"/>
    <x v="4"/>
    <x v="1"/>
    <x v="0"/>
    <n v="6"/>
    <n v="37.14"/>
    <n v="222.84"/>
    <n v="26.92"/>
  </r>
  <r>
    <s v="ORD10192"/>
    <x v="200"/>
    <s v="Customer 028"/>
    <x v="2"/>
    <x v="1"/>
    <x v="0"/>
    <n v="9"/>
    <n v="82.44"/>
    <n v="741.96"/>
    <n v="95.36"/>
  </r>
  <r>
    <s v="ORD10091"/>
    <x v="201"/>
    <s v="Customer 086"/>
    <x v="1"/>
    <x v="0"/>
    <x v="2"/>
    <n v="6"/>
    <n v="535.15"/>
    <n v="3210.9"/>
    <n v="589.96"/>
  </r>
  <r>
    <s v="ORD10246"/>
    <x v="201"/>
    <s v="Customer 048"/>
    <x v="5"/>
    <x v="1"/>
    <x v="0"/>
    <n v="8"/>
    <n v="136.82"/>
    <n v="1094.56"/>
    <n v="194.01"/>
  </r>
  <r>
    <s v="ORD10050"/>
    <x v="201"/>
    <s v="Customer 089"/>
    <x v="5"/>
    <x v="1"/>
    <x v="2"/>
    <n v="10"/>
    <n v="132.13"/>
    <n v="1321.3"/>
    <n v="393.53"/>
  </r>
  <r>
    <s v="ORD10094"/>
    <x v="202"/>
    <s v="Customer 040"/>
    <x v="5"/>
    <x v="1"/>
    <x v="2"/>
    <n v="5"/>
    <n v="147.96"/>
    <n v="739.8"/>
    <n v="92.34"/>
  </r>
  <r>
    <s v="ORD10280"/>
    <x v="203"/>
    <s v="Customer 021"/>
    <x v="3"/>
    <x v="0"/>
    <x v="0"/>
    <n v="10"/>
    <n v="329.36"/>
    <n v="3293.6"/>
    <n v="760.53"/>
  </r>
  <r>
    <s v="ORD10252"/>
    <x v="204"/>
    <s v="Customer 015"/>
    <x v="0"/>
    <x v="0"/>
    <x v="2"/>
    <n v="9"/>
    <n v="578.23"/>
    <n v="5204.07"/>
    <n v="1089.3900000000001"/>
  </r>
  <r>
    <s v="ORD10302"/>
    <x v="204"/>
    <s v="Customer 046"/>
    <x v="0"/>
    <x v="0"/>
    <x v="1"/>
    <n v="6"/>
    <n v="739.85"/>
    <n v="4439.1000000000004"/>
    <n v="1310.86"/>
  </r>
  <r>
    <s v="ORD10058"/>
    <x v="205"/>
    <s v="Customer 071"/>
    <x v="0"/>
    <x v="0"/>
    <x v="0"/>
    <n v="5"/>
    <n v="993.74"/>
    <n v="4968.7"/>
    <n v="803.95"/>
  </r>
  <r>
    <s v="ORD10500"/>
    <x v="205"/>
    <s v="Customer 072"/>
    <x v="4"/>
    <x v="1"/>
    <x v="3"/>
    <n v="4"/>
    <n v="36.06"/>
    <n v="144.24"/>
    <n v="38.979999999999997"/>
  </r>
  <r>
    <s v="ORD10261"/>
    <x v="206"/>
    <s v="Customer 040"/>
    <x v="0"/>
    <x v="0"/>
    <x v="3"/>
    <n v="3"/>
    <n v="1062.29"/>
    <n v="3186.87"/>
    <n v="749.5"/>
  </r>
  <r>
    <s v="ORD10001"/>
    <x v="207"/>
    <s v="Customer 010"/>
    <x v="6"/>
    <x v="2"/>
    <x v="3"/>
    <n v="5"/>
    <n v="265.89"/>
    <n v="1329.45"/>
    <n v="360.27"/>
  </r>
  <r>
    <s v="ORD10262"/>
    <x v="208"/>
    <s v="Customer 028"/>
    <x v="5"/>
    <x v="1"/>
    <x v="0"/>
    <n v="7"/>
    <n v="80.3"/>
    <n v="562.1"/>
    <n v="100.17"/>
  </r>
  <r>
    <s v="ORD10112"/>
    <x v="208"/>
    <s v="Customer 085"/>
    <x v="6"/>
    <x v="2"/>
    <x v="0"/>
    <n v="5"/>
    <n v="359.51"/>
    <n v="1797.55"/>
    <n v="207.4"/>
  </r>
  <r>
    <s v="ORD10384"/>
    <x v="208"/>
    <s v="Customer 061"/>
    <x v="7"/>
    <x v="1"/>
    <x v="1"/>
    <n v="1"/>
    <n v="126.68"/>
    <n v="126.68"/>
    <n v="26.32"/>
  </r>
  <r>
    <s v="ORD10048"/>
    <x v="209"/>
    <s v="Customer 049"/>
    <x v="6"/>
    <x v="2"/>
    <x v="0"/>
    <n v="10"/>
    <n v="285.44"/>
    <n v="2854.4"/>
    <n v="275.26"/>
  </r>
  <r>
    <s v="ORD10212"/>
    <x v="210"/>
    <s v="Customer 006"/>
    <x v="6"/>
    <x v="2"/>
    <x v="2"/>
    <n v="3"/>
    <n v="392.8"/>
    <n v="1178.4000000000001"/>
    <n v="264.08"/>
  </r>
  <r>
    <s v="ORD10187"/>
    <x v="210"/>
    <s v="Customer 021"/>
    <x v="3"/>
    <x v="0"/>
    <x v="3"/>
    <n v="7"/>
    <n v="236.88"/>
    <n v="1658.16"/>
    <n v="253.88"/>
  </r>
  <r>
    <s v="ORD10269"/>
    <x v="211"/>
    <s v="Customer 072"/>
    <x v="6"/>
    <x v="2"/>
    <x v="3"/>
    <n v="7"/>
    <n v="226.97"/>
    <n v="1588.79"/>
    <n v="207.89"/>
  </r>
  <r>
    <s v="ORD10311"/>
    <x v="211"/>
    <s v="Customer 078"/>
    <x v="1"/>
    <x v="0"/>
    <x v="3"/>
    <n v="2"/>
    <n v="399.46"/>
    <n v="798.92"/>
    <n v="225.38"/>
  </r>
  <r>
    <s v="ORD10478"/>
    <x v="212"/>
    <s v="Customer 041"/>
    <x v="1"/>
    <x v="0"/>
    <x v="0"/>
    <n v="8"/>
    <n v="351.11"/>
    <n v="2808.88"/>
    <n v="818.98"/>
  </r>
  <r>
    <s v="ORD10052"/>
    <x v="213"/>
    <s v="Customer 012"/>
    <x v="5"/>
    <x v="1"/>
    <x v="0"/>
    <n v="6"/>
    <n v="100.73"/>
    <n v="604.38"/>
    <n v="107.65"/>
  </r>
  <r>
    <s v="ORD10324"/>
    <x v="213"/>
    <s v="Customer 042"/>
    <x v="3"/>
    <x v="0"/>
    <x v="2"/>
    <n v="3"/>
    <n v="288.83"/>
    <n v="866.49"/>
    <n v="86.57"/>
  </r>
  <r>
    <s v="ORD10158"/>
    <x v="214"/>
    <s v="Customer 060"/>
    <x v="3"/>
    <x v="0"/>
    <x v="2"/>
    <n v="10"/>
    <n v="174.12"/>
    <n v="1741.2"/>
    <n v="253.77"/>
  </r>
  <r>
    <s v="ORD10306"/>
    <x v="215"/>
    <s v="Customer 072"/>
    <x v="7"/>
    <x v="1"/>
    <x v="2"/>
    <n v="10"/>
    <n v="104.14"/>
    <n v="1041.4000000000001"/>
    <n v="273.67"/>
  </r>
  <r>
    <s v="ORD10188"/>
    <x v="216"/>
    <s v="Customer 030"/>
    <x v="6"/>
    <x v="2"/>
    <x v="3"/>
    <n v="5"/>
    <n v="302.17"/>
    <n v="1510.85"/>
    <n v="301.18"/>
  </r>
  <r>
    <s v="ORD10301"/>
    <x v="217"/>
    <s v="Customer 098"/>
    <x v="0"/>
    <x v="0"/>
    <x v="1"/>
    <n v="8"/>
    <n v="737.32"/>
    <n v="5898.56"/>
    <n v="1330.47"/>
  </r>
  <r>
    <s v="ORD10089"/>
    <x v="218"/>
    <s v="Customer 051"/>
    <x v="4"/>
    <x v="1"/>
    <x v="0"/>
    <n v="1"/>
    <n v="25.81"/>
    <n v="25.81"/>
    <n v="6.12"/>
  </r>
  <r>
    <s v="ORD10072"/>
    <x v="219"/>
    <s v="Customer 049"/>
    <x v="3"/>
    <x v="0"/>
    <x v="0"/>
    <n v="10"/>
    <n v="292.98"/>
    <n v="2929.8"/>
    <n v="382.67"/>
  </r>
  <r>
    <s v="ORD10256"/>
    <x v="219"/>
    <s v="Customer 084"/>
    <x v="2"/>
    <x v="1"/>
    <x v="2"/>
    <n v="3"/>
    <n v="29.82"/>
    <n v="89.46"/>
    <n v="14.62"/>
  </r>
  <r>
    <s v="ORD10257"/>
    <x v="219"/>
    <s v="Customer 016"/>
    <x v="6"/>
    <x v="2"/>
    <x v="0"/>
    <n v="6"/>
    <n v="406.76"/>
    <n v="2440.56"/>
    <n v="520.37"/>
  </r>
  <r>
    <s v="ORD10272"/>
    <x v="219"/>
    <s v="Customer 067"/>
    <x v="1"/>
    <x v="0"/>
    <x v="0"/>
    <n v="9"/>
    <n v="686.76"/>
    <n v="6180.84"/>
    <n v="800.01"/>
  </r>
  <r>
    <s v="ORD10055"/>
    <x v="220"/>
    <s v="Customer 033"/>
    <x v="6"/>
    <x v="2"/>
    <x v="2"/>
    <n v="10"/>
    <n v="307.86"/>
    <n v="3078.6"/>
    <n v="506.11"/>
  </r>
  <r>
    <s v="ORD10191"/>
    <x v="221"/>
    <s v="Customer 004"/>
    <x v="6"/>
    <x v="2"/>
    <x v="1"/>
    <n v="7"/>
    <n v="209.02"/>
    <n v="1463.14"/>
    <n v="246.86"/>
  </r>
  <r>
    <s v="ORD10033"/>
    <x v="222"/>
    <s v="Customer 021"/>
    <x v="4"/>
    <x v="1"/>
    <x v="1"/>
    <n v="10"/>
    <n v="55.87"/>
    <n v="558.70000000000005"/>
    <n v="46.96"/>
  </r>
  <r>
    <s v="ORD10237"/>
    <x v="223"/>
    <s v="Customer 034"/>
    <x v="5"/>
    <x v="1"/>
    <x v="3"/>
    <n v="10"/>
    <n v="111.41"/>
    <n v="1114.0999999999999"/>
    <n v="186.93"/>
  </r>
  <r>
    <s v="ORD10005"/>
    <x v="223"/>
    <s v="Customer 095"/>
    <x v="2"/>
    <x v="1"/>
    <x v="3"/>
    <n v="2"/>
    <n v="66.739999999999995"/>
    <n v="133.47999999999999"/>
    <n v="20.49"/>
  </r>
  <r>
    <s v="ORD10374"/>
    <x v="224"/>
    <s v="Customer 050"/>
    <x v="1"/>
    <x v="0"/>
    <x v="0"/>
    <n v="2"/>
    <n v="242.67"/>
    <n v="485.34"/>
    <n v="79.41"/>
  </r>
  <r>
    <s v="ORD10476"/>
    <x v="225"/>
    <s v="Customer 037"/>
    <x v="1"/>
    <x v="0"/>
    <x v="2"/>
    <n v="2"/>
    <n v="623.14"/>
    <n v="1246.28"/>
    <n v="258.86"/>
  </r>
  <r>
    <s v="ORD10322"/>
    <x v="225"/>
    <s v="Customer 051"/>
    <x v="7"/>
    <x v="1"/>
    <x v="0"/>
    <n v="6"/>
    <n v="121.56"/>
    <n v="729.36"/>
    <n v="217.74"/>
  </r>
  <r>
    <s v="ORD10482"/>
    <x v="226"/>
    <s v="Customer 051"/>
    <x v="5"/>
    <x v="1"/>
    <x v="3"/>
    <n v="7"/>
    <n v="70.319999999999993"/>
    <n v="492.24"/>
    <n v="83.72"/>
  </r>
  <r>
    <s v="ORD10431"/>
    <x v="227"/>
    <s v="Customer 001"/>
    <x v="0"/>
    <x v="0"/>
    <x v="0"/>
    <n v="8"/>
    <n v="852.47"/>
    <n v="6819.76"/>
    <n v="1014.1"/>
  </r>
  <r>
    <s v="ORD10462"/>
    <x v="228"/>
    <s v="Customer 062"/>
    <x v="7"/>
    <x v="1"/>
    <x v="3"/>
    <n v="8"/>
    <n v="103.68"/>
    <n v="829.44"/>
    <n v="79.12"/>
  </r>
  <r>
    <s v="ORD10286"/>
    <x v="228"/>
    <s v="Customer 100"/>
    <x v="2"/>
    <x v="1"/>
    <x v="2"/>
    <n v="3"/>
    <n v="53.74"/>
    <n v="161.22"/>
    <n v="31.4"/>
  </r>
  <r>
    <s v="ORD10343"/>
    <x v="228"/>
    <s v="Customer 030"/>
    <x v="2"/>
    <x v="1"/>
    <x v="0"/>
    <n v="1"/>
    <n v="26.07"/>
    <n v="26.07"/>
    <n v="5.23"/>
  </r>
  <r>
    <s v="ORD10428"/>
    <x v="229"/>
    <s v="Customer 034"/>
    <x v="4"/>
    <x v="1"/>
    <x v="1"/>
    <n v="7"/>
    <n v="55.52"/>
    <n v="388.64"/>
    <n v="71.52"/>
  </r>
  <r>
    <s v="ORD10404"/>
    <x v="230"/>
    <s v="Customer 019"/>
    <x v="0"/>
    <x v="0"/>
    <x v="3"/>
    <n v="9"/>
    <n v="500.21"/>
    <n v="4501.8900000000003"/>
    <n v="471.38"/>
  </r>
  <r>
    <s v="ORD10154"/>
    <x v="231"/>
    <s v="Customer 015"/>
    <x v="2"/>
    <x v="1"/>
    <x v="1"/>
    <n v="7"/>
    <n v="21.84"/>
    <n v="152.88"/>
    <n v="42.37"/>
  </r>
  <r>
    <s v="ORD10115"/>
    <x v="231"/>
    <s v="Customer 092"/>
    <x v="6"/>
    <x v="2"/>
    <x v="2"/>
    <n v="1"/>
    <n v="363.34"/>
    <n v="363.34"/>
    <n v="76.25"/>
  </r>
  <r>
    <s v="ORD10117"/>
    <x v="231"/>
    <s v="Customer 027"/>
    <x v="0"/>
    <x v="0"/>
    <x v="3"/>
    <n v="7"/>
    <n v="1200.71"/>
    <n v="8404.9699999999993"/>
    <n v="2492.56"/>
  </r>
  <r>
    <s v="ORD10054"/>
    <x v="232"/>
    <s v="Customer 041"/>
    <x v="4"/>
    <x v="1"/>
    <x v="2"/>
    <n v="4"/>
    <n v="26.03"/>
    <n v="104.12"/>
    <n v="21.95"/>
  </r>
  <r>
    <s v="ORD10376"/>
    <x v="232"/>
    <s v="Customer 021"/>
    <x v="4"/>
    <x v="1"/>
    <x v="0"/>
    <n v="7"/>
    <n v="19.63"/>
    <n v="137.41"/>
    <n v="25.48"/>
  </r>
  <r>
    <s v="ORD10062"/>
    <x v="232"/>
    <s v="Customer 024"/>
    <x v="6"/>
    <x v="2"/>
    <x v="1"/>
    <n v="5"/>
    <n v="130.75"/>
    <n v="653.75"/>
    <n v="75.16"/>
  </r>
  <r>
    <s v="ORD10020"/>
    <x v="233"/>
    <s v="Customer 033"/>
    <x v="2"/>
    <x v="1"/>
    <x v="2"/>
    <n v="1"/>
    <n v="49.23"/>
    <n v="49.23"/>
    <n v="9.9600000000000009"/>
  </r>
  <r>
    <s v="ORD10363"/>
    <x v="234"/>
    <s v="Customer 041"/>
    <x v="0"/>
    <x v="0"/>
    <x v="1"/>
    <n v="10"/>
    <n v="1313.03"/>
    <n v="13130.3"/>
    <n v="2189.61"/>
  </r>
  <r>
    <s v="ORD10479"/>
    <x v="235"/>
    <s v="Customer 017"/>
    <x v="0"/>
    <x v="0"/>
    <x v="1"/>
    <n v="3"/>
    <n v="1338.43"/>
    <n v="4015.29"/>
    <n v="882.12"/>
  </r>
  <r>
    <s v="ORD10429"/>
    <x v="235"/>
    <s v="Customer 091"/>
    <x v="0"/>
    <x v="0"/>
    <x v="0"/>
    <n v="7"/>
    <n v="540.59"/>
    <n v="3784.13"/>
    <n v="748.42"/>
  </r>
  <r>
    <s v="ORD10185"/>
    <x v="236"/>
    <s v="Customer 001"/>
    <x v="0"/>
    <x v="0"/>
    <x v="0"/>
    <n v="7"/>
    <n v="529.55999999999995"/>
    <n v="3706.92"/>
    <n v="313.57"/>
  </r>
  <r>
    <s v="ORD10214"/>
    <x v="236"/>
    <s v="Customer 060"/>
    <x v="6"/>
    <x v="2"/>
    <x v="0"/>
    <n v="4"/>
    <n v="202.92"/>
    <n v="811.68"/>
    <n v="115.62"/>
  </r>
  <r>
    <s v="ORD10141"/>
    <x v="236"/>
    <s v="Customer 011"/>
    <x v="1"/>
    <x v="0"/>
    <x v="1"/>
    <n v="1"/>
    <n v="298.22000000000003"/>
    <n v="298.22000000000003"/>
    <n v="81.760000000000005"/>
  </r>
  <r>
    <s v="ORD10411"/>
    <x v="236"/>
    <s v="Customer 038"/>
    <x v="2"/>
    <x v="1"/>
    <x v="3"/>
    <n v="1"/>
    <n v="27.08"/>
    <n v="27.08"/>
    <n v="3.21"/>
  </r>
  <r>
    <s v="ORD10352"/>
    <x v="236"/>
    <s v="Customer 099"/>
    <x v="0"/>
    <x v="0"/>
    <x v="1"/>
    <n v="1"/>
    <n v="1211.01"/>
    <n v="1211.01"/>
    <n v="230.21"/>
  </r>
  <r>
    <s v="ORD10265"/>
    <x v="237"/>
    <s v="Customer 070"/>
    <x v="2"/>
    <x v="1"/>
    <x v="1"/>
    <n v="10"/>
    <n v="22.74"/>
    <n v="227.4"/>
    <n v="45.2"/>
  </r>
  <r>
    <s v="ORD10485"/>
    <x v="238"/>
    <s v="Customer 055"/>
    <x v="7"/>
    <x v="1"/>
    <x v="3"/>
    <n v="6"/>
    <n v="37.32"/>
    <n v="223.92"/>
    <n v="17.97"/>
  </r>
  <r>
    <s v="ORD10024"/>
    <x v="238"/>
    <s v="Customer 015"/>
    <x v="1"/>
    <x v="0"/>
    <x v="0"/>
    <n v="6"/>
    <n v="599.04999999999995"/>
    <n v="3594.3"/>
    <n v="354.04"/>
  </r>
  <r>
    <s v="ORD10081"/>
    <x v="238"/>
    <s v="Customer 005"/>
    <x v="6"/>
    <x v="2"/>
    <x v="0"/>
    <n v="10"/>
    <n v="389.78"/>
    <n v="3897.8"/>
    <n v="963.62"/>
  </r>
  <r>
    <s v="ORD10423"/>
    <x v="239"/>
    <s v="Customer 045"/>
    <x v="5"/>
    <x v="1"/>
    <x v="0"/>
    <n v="6"/>
    <n v="75.64"/>
    <n v="453.84"/>
    <n v="51.25"/>
  </r>
  <r>
    <s v="ORD10405"/>
    <x v="239"/>
    <s v="Customer 026"/>
    <x v="1"/>
    <x v="0"/>
    <x v="2"/>
    <n v="6"/>
    <n v="276.45"/>
    <n v="1658.7"/>
    <n v="133.63999999999999"/>
  </r>
  <r>
    <s v="ORD10465"/>
    <x v="240"/>
    <s v="Customer 020"/>
    <x v="4"/>
    <x v="1"/>
    <x v="3"/>
    <n v="4"/>
    <n v="33.17"/>
    <n v="132.68"/>
    <n v="27.92"/>
  </r>
  <r>
    <s v="ORD10339"/>
    <x v="240"/>
    <s v="Customer 061"/>
    <x v="4"/>
    <x v="1"/>
    <x v="2"/>
    <n v="5"/>
    <n v="30.64"/>
    <n v="153.19999999999999"/>
    <n v="33.5"/>
  </r>
  <r>
    <s v="ORD10225"/>
    <x v="240"/>
    <s v="Customer 076"/>
    <x v="3"/>
    <x v="0"/>
    <x v="0"/>
    <n v="10"/>
    <n v="245.31"/>
    <n v="2453.1"/>
    <n v="472.9"/>
  </r>
  <r>
    <s v="ORD10059"/>
    <x v="241"/>
    <s v="Customer 086"/>
    <x v="2"/>
    <x v="1"/>
    <x v="2"/>
    <n v="1"/>
    <n v="63.91"/>
    <n v="63.91"/>
    <n v="16.63"/>
  </r>
  <r>
    <s v="ORD10015"/>
    <x v="242"/>
    <s v="Customer 082"/>
    <x v="1"/>
    <x v="0"/>
    <x v="3"/>
    <n v="7"/>
    <n v="439.09"/>
    <n v="3073.63"/>
    <n v="249.37"/>
  </r>
  <r>
    <s v="ORD10238"/>
    <x v="243"/>
    <s v="Customer 041"/>
    <x v="5"/>
    <x v="1"/>
    <x v="0"/>
    <n v="9"/>
    <n v="80.709999999999994"/>
    <n v="726.39"/>
    <n v="195.22"/>
  </r>
  <r>
    <s v="ORD10446"/>
    <x v="244"/>
    <s v="Customer 083"/>
    <x v="2"/>
    <x v="1"/>
    <x v="1"/>
    <n v="10"/>
    <n v="38.450000000000003"/>
    <n v="384.5"/>
    <n v="59.61"/>
  </r>
  <r>
    <s v="ORD10481"/>
    <x v="245"/>
    <s v="Customer 021"/>
    <x v="4"/>
    <x v="1"/>
    <x v="2"/>
    <n v="3"/>
    <n v="24.07"/>
    <n v="72.209999999999994"/>
    <n v="8.49"/>
  </r>
  <r>
    <s v="ORD10235"/>
    <x v="246"/>
    <s v="Customer 035"/>
    <x v="4"/>
    <x v="1"/>
    <x v="3"/>
    <n v="7"/>
    <n v="19.809999999999999"/>
    <n v="138.66999999999999"/>
    <n v="30.99"/>
  </r>
  <r>
    <s v="ORD10101"/>
    <x v="246"/>
    <s v="Customer 063"/>
    <x v="6"/>
    <x v="2"/>
    <x v="0"/>
    <n v="10"/>
    <n v="286.14999999999998"/>
    <n v="2861.5"/>
    <n v="414.11"/>
  </r>
  <r>
    <s v="ORD10014"/>
    <x v="247"/>
    <s v="Customer 084"/>
    <x v="2"/>
    <x v="1"/>
    <x v="0"/>
    <n v="6"/>
    <n v="39.549999999999997"/>
    <n v="237.3"/>
    <n v="64.88"/>
  </r>
  <r>
    <s v="ORD10203"/>
    <x v="248"/>
    <s v="Customer 034"/>
    <x v="6"/>
    <x v="2"/>
    <x v="2"/>
    <n v="9"/>
    <n v="204.86"/>
    <n v="1843.74"/>
    <n v="352.28"/>
  </r>
  <r>
    <s v="ORD10078"/>
    <x v="249"/>
    <s v="Customer 065"/>
    <x v="4"/>
    <x v="1"/>
    <x v="2"/>
    <n v="7"/>
    <n v="46.08"/>
    <n v="322.56"/>
    <n v="90.35"/>
  </r>
  <r>
    <s v="ORD10266"/>
    <x v="249"/>
    <s v="Customer 073"/>
    <x v="3"/>
    <x v="0"/>
    <x v="3"/>
    <n v="4"/>
    <n v="440.73"/>
    <n v="1762.92"/>
    <n v="154.29"/>
  </r>
  <r>
    <s v="ORD10039"/>
    <x v="250"/>
    <s v="Customer 058"/>
    <x v="0"/>
    <x v="0"/>
    <x v="3"/>
    <n v="8"/>
    <n v="1146.6099999999999"/>
    <n v="9172.8799999999992"/>
    <n v="2325.67"/>
  </r>
  <r>
    <s v="ORD10393"/>
    <x v="250"/>
    <s v="Customer 008"/>
    <x v="1"/>
    <x v="0"/>
    <x v="3"/>
    <n v="3"/>
    <n v="477.66"/>
    <n v="1432.98"/>
    <n v="366.77"/>
  </r>
  <r>
    <s v="ORD10061"/>
    <x v="250"/>
    <s v="Customer 081"/>
    <x v="2"/>
    <x v="1"/>
    <x v="2"/>
    <n v="5"/>
    <n v="74.77"/>
    <n v="373.85"/>
    <n v="29.99"/>
  </r>
  <r>
    <s v="ORD10230"/>
    <x v="251"/>
    <s v="Customer 028"/>
    <x v="7"/>
    <x v="1"/>
    <x v="2"/>
    <n v="9"/>
    <n v="155.97"/>
    <n v="1403.73"/>
    <n v="237.38"/>
  </r>
  <r>
    <s v="ORD10457"/>
    <x v="251"/>
    <s v="Customer 049"/>
    <x v="5"/>
    <x v="1"/>
    <x v="2"/>
    <n v="9"/>
    <n v="102.19"/>
    <n v="919.71"/>
    <n v="143.09"/>
  </r>
  <r>
    <s v="ORD10148"/>
    <x v="252"/>
    <s v="Customer 036"/>
    <x v="2"/>
    <x v="1"/>
    <x v="0"/>
    <n v="8"/>
    <n v="40.479999999999997"/>
    <n v="323.83999999999997"/>
    <n v="75.290000000000006"/>
  </r>
  <r>
    <s v="ORD10011"/>
    <x v="253"/>
    <s v="Customer 045"/>
    <x v="2"/>
    <x v="1"/>
    <x v="1"/>
    <n v="8"/>
    <n v="47"/>
    <n v="376"/>
    <n v="103.01"/>
  </r>
  <r>
    <s v="ORD10023"/>
    <x v="254"/>
    <s v="Customer 070"/>
    <x v="3"/>
    <x v="0"/>
    <x v="1"/>
    <n v="9"/>
    <n v="180.76"/>
    <n v="1626.84"/>
    <n v="199.27"/>
  </r>
  <r>
    <s v="ORD10496"/>
    <x v="254"/>
    <s v="Customer 001"/>
    <x v="6"/>
    <x v="2"/>
    <x v="1"/>
    <n v="6"/>
    <n v="331.74"/>
    <n v="1990.44"/>
    <n v="453.31"/>
  </r>
  <r>
    <s v="ORD10196"/>
    <x v="255"/>
    <s v="Customer 069"/>
    <x v="3"/>
    <x v="0"/>
    <x v="2"/>
    <n v="1"/>
    <n v="330.31"/>
    <n v="330.31"/>
    <n v="39.08"/>
  </r>
  <r>
    <s v="ORD10197"/>
    <x v="256"/>
    <s v="Customer 025"/>
    <x v="3"/>
    <x v="0"/>
    <x v="2"/>
    <n v="4"/>
    <n v="491.44"/>
    <n v="1965.76"/>
    <n v="572.77"/>
  </r>
  <r>
    <s v="ORD10092"/>
    <x v="257"/>
    <s v="Customer 076"/>
    <x v="4"/>
    <x v="1"/>
    <x v="0"/>
    <n v="9"/>
    <n v="32.6"/>
    <n v="293.39999999999998"/>
    <n v="58.54"/>
  </r>
  <r>
    <s v="ORD10298"/>
    <x v="257"/>
    <s v="Customer 023"/>
    <x v="6"/>
    <x v="2"/>
    <x v="0"/>
    <n v="7"/>
    <n v="352.07"/>
    <n v="2464.4899999999998"/>
    <n v="324.33999999999997"/>
  </r>
  <r>
    <s v="ORD10045"/>
    <x v="258"/>
    <s v="Customer 090"/>
    <x v="4"/>
    <x v="1"/>
    <x v="2"/>
    <n v="6"/>
    <n v="45.55"/>
    <n v="273.3"/>
    <n v="64.47"/>
  </r>
  <r>
    <s v="ORD10250"/>
    <x v="258"/>
    <s v="Customer 011"/>
    <x v="2"/>
    <x v="1"/>
    <x v="1"/>
    <n v="1"/>
    <n v="52.51"/>
    <n v="52.51"/>
    <n v="5.88"/>
  </r>
  <r>
    <s v="ORD10300"/>
    <x v="259"/>
    <s v="Customer 091"/>
    <x v="1"/>
    <x v="0"/>
    <x v="2"/>
    <n v="10"/>
    <n v="252.81"/>
    <n v="2528.1"/>
    <n v="344.24"/>
  </r>
  <r>
    <s v="ORD10083"/>
    <x v="260"/>
    <s v="Customer 022"/>
    <x v="7"/>
    <x v="1"/>
    <x v="2"/>
    <n v="7"/>
    <n v="149.93"/>
    <n v="1049.51"/>
    <n v="155.99"/>
  </r>
  <r>
    <s v="ORD10464"/>
    <x v="260"/>
    <s v="Customer 043"/>
    <x v="0"/>
    <x v="0"/>
    <x v="2"/>
    <n v="10"/>
    <n v="1307.69"/>
    <n v="13076.9"/>
    <n v="1826.22"/>
  </r>
  <r>
    <s v="ORD10222"/>
    <x v="261"/>
    <s v="Customer 098"/>
    <x v="2"/>
    <x v="1"/>
    <x v="2"/>
    <n v="10"/>
    <n v="46.75"/>
    <n v="467.5"/>
    <n v="99.3"/>
  </r>
  <r>
    <s v="ORD10418"/>
    <x v="261"/>
    <s v="Customer 092"/>
    <x v="3"/>
    <x v="0"/>
    <x v="1"/>
    <n v="1"/>
    <n v="267.73"/>
    <n v="267.73"/>
    <n v="64.53"/>
  </r>
  <r>
    <s v="ORD10453"/>
    <x v="261"/>
    <s v="Customer 035"/>
    <x v="5"/>
    <x v="1"/>
    <x v="2"/>
    <n v="10"/>
    <n v="139.13999999999999"/>
    <n v="1391.4"/>
    <n v="308.83999999999997"/>
  </r>
  <r>
    <s v="ORD10255"/>
    <x v="262"/>
    <s v="Customer 033"/>
    <x v="0"/>
    <x v="0"/>
    <x v="1"/>
    <n v="6"/>
    <n v="1263.32"/>
    <n v="7579.92"/>
    <n v="1205.47"/>
  </r>
  <r>
    <s v="ORD10223"/>
    <x v="263"/>
    <s v="Customer 086"/>
    <x v="5"/>
    <x v="1"/>
    <x v="3"/>
    <n v="10"/>
    <n v="49.06"/>
    <n v="490.6"/>
    <n v="107.52"/>
  </r>
  <r>
    <s v="ORD10314"/>
    <x v="264"/>
    <s v="Customer 040"/>
    <x v="6"/>
    <x v="2"/>
    <x v="2"/>
    <n v="4"/>
    <n v="164.53"/>
    <n v="658.12"/>
    <n v="172.36"/>
  </r>
  <r>
    <s v="ORD10341"/>
    <x v="265"/>
    <s v="Customer 040"/>
    <x v="2"/>
    <x v="1"/>
    <x v="2"/>
    <n v="9"/>
    <n v="67.86"/>
    <n v="610.74"/>
    <n v="124.56"/>
  </r>
  <r>
    <s v="ORD10413"/>
    <x v="266"/>
    <s v="Customer 029"/>
    <x v="5"/>
    <x v="1"/>
    <x v="3"/>
    <n v="4"/>
    <n v="97.57"/>
    <n v="390.28"/>
    <n v="109"/>
  </r>
  <r>
    <s v="ORD10470"/>
    <x v="266"/>
    <s v="Customer 049"/>
    <x v="4"/>
    <x v="1"/>
    <x v="0"/>
    <n v="4"/>
    <n v="53.01"/>
    <n v="212.04"/>
    <n v="19.399999999999999"/>
  </r>
  <r>
    <s v="ORD10114"/>
    <x v="267"/>
    <s v="Customer 086"/>
    <x v="5"/>
    <x v="1"/>
    <x v="2"/>
    <n v="4"/>
    <n v="159.72"/>
    <n v="638.88"/>
    <n v="96.92"/>
  </r>
  <r>
    <s v="ORD10443"/>
    <x v="267"/>
    <s v="Customer 090"/>
    <x v="0"/>
    <x v="0"/>
    <x v="1"/>
    <n v="5"/>
    <n v="558.49"/>
    <n v="2792.45"/>
    <n v="497.26"/>
  </r>
  <r>
    <s v="ORD10377"/>
    <x v="267"/>
    <s v="Customer 069"/>
    <x v="4"/>
    <x v="1"/>
    <x v="0"/>
    <n v="10"/>
    <n v="15.76"/>
    <n v="157.6"/>
    <n v="19.350000000000001"/>
  </r>
  <r>
    <s v="ORD10234"/>
    <x v="268"/>
    <s v="Customer 085"/>
    <x v="4"/>
    <x v="1"/>
    <x v="3"/>
    <n v="6"/>
    <n v="22.69"/>
    <n v="136.13999999999999"/>
    <n v="13.74"/>
  </r>
  <r>
    <s v="ORD10287"/>
    <x v="268"/>
    <s v="Customer 076"/>
    <x v="0"/>
    <x v="0"/>
    <x v="0"/>
    <n v="3"/>
    <n v="619.04999999999995"/>
    <n v="1857.15"/>
    <n v="288.57"/>
  </r>
  <r>
    <s v="ORD10010"/>
    <x v="269"/>
    <s v="Customer 073"/>
    <x v="3"/>
    <x v="0"/>
    <x v="2"/>
    <n v="3"/>
    <n v="282.57"/>
    <n v="847.71"/>
    <n v="103.11"/>
  </r>
  <r>
    <s v="ORD10329"/>
    <x v="270"/>
    <s v="Customer 045"/>
    <x v="1"/>
    <x v="0"/>
    <x v="1"/>
    <n v="8"/>
    <n v="460.72"/>
    <n v="3685.76"/>
    <n v="1045.46"/>
  </r>
  <r>
    <s v="ORD10340"/>
    <x v="270"/>
    <s v="Customer 036"/>
    <x v="4"/>
    <x v="1"/>
    <x v="3"/>
    <n v="10"/>
    <n v="45.25"/>
    <n v="452.5"/>
    <n v="96.91"/>
  </r>
  <r>
    <s v="ORD10486"/>
    <x v="271"/>
    <s v="Customer 041"/>
    <x v="5"/>
    <x v="1"/>
    <x v="2"/>
    <n v="3"/>
    <n v="103.91"/>
    <n v="311.73"/>
    <n v="45.57"/>
  </r>
  <r>
    <s v="ORD10494"/>
    <x v="271"/>
    <s v="Customer 046"/>
    <x v="5"/>
    <x v="1"/>
    <x v="2"/>
    <n v="1"/>
    <n v="148.78"/>
    <n v="148.78"/>
    <n v="37.06"/>
  </r>
  <r>
    <s v="ORD10334"/>
    <x v="271"/>
    <s v="Customer 019"/>
    <x v="2"/>
    <x v="1"/>
    <x v="3"/>
    <n v="1"/>
    <n v="32.369999999999997"/>
    <n v="32.369999999999997"/>
    <n v="8.7799999999999994"/>
  </r>
  <r>
    <s v="ORD10458"/>
    <x v="272"/>
    <s v="Customer 013"/>
    <x v="1"/>
    <x v="0"/>
    <x v="1"/>
    <n v="10"/>
    <n v="490.58"/>
    <n v="4905.8"/>
    <n v="1058.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BDCE15-D2D5-409F-8449-70C025315C18}"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3">
    <pivotField dataField="1" subtotalTop="0" showAll="0" defaultSubtotal="0"/>
    <pivotField axis="axisRow" allDrilled="1" showAll="0" dataSourceSort="1" defaultAttributeDrillState="1">
      <items count="5">
        <item x="0"/>
        <item x="1"/>
        <item x="2"/>
        <item x="3"/>
        <item t="default"/>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Sales" fld="0" baseField="0" baseItem="0"/>
    <dataField name="Sum of Profit" fld="2" baseField="0" baseItem="0"/>
  </dataField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466DF3-4394-46D2-B373-D69D2B93A987}"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8" firstHeaderRow="0" firstDataRow="1" firstDataCol="1"/>
  <pivotFields count="12">
    <pivotField showAll="0"/>
    <pivotField numFmtId="165"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pivotField showAll="0"/>
    <pivotField showAll="0"/>
    <pivotField axis="axisRow" showAll="0">
      <items count="5">
        <item x="1"/>
        <item x="0"/>
        <item x="2"/>
        <item x="3"/>
        <item t="default"/>
      </items>
    </pivotField>
    <pivotField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Sum of Sales" fld="8"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FA997D-05AC-49F1-A0EB-3B654BA656ED}"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2">
    <pivotField showAll="0"/>
    <pivotField axis="axisRow" numFmtId="165"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pivotField showAll="0"/>
    <pivotField showAll="0">
      <items count="4">
        <item x="1"/>
        <item x="0"/>
        <item x="2"/>
        <item t="default"/>
      </items>
    </pivotField>
    <pivotField showAll="0">
      <items count="5">
        <item x="1"/>
        <item h="1" x="0"/>
        <item h="1" x="2"/>
        <item h="1" x="3"/>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13">
    <i>
      <x v="1"/>
    </i>
    <i>
      <x v="2"/>
    </i>
    <i>
      <x v="3"/>
    </i>
    <i>
      <x v="4"/>
    </i>
    <i>
      <x v="5"/>
    </i>
    <i>
      <x v="6"/>
    </i>
    <i>
      <x v="7"/>
    </i>
    <i>
      <x v="8"/>
    </i>
    <i>
      <x v="9"/>
    </i>
    <i>
      <x v="10"/>
    </i>
    <i>
      <x v="11"/>
    </i>
    <i>
      <x v="12"/>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0230C8-4460-460B-9F47-92B085568012}"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
  <location ref="A3:C7" firstHeaderRow="0" firstDataRow="1" firstDataCol="1"/>
  <pivotFields count="12">
    <pivotField showAll="0"/>
    <pivotField numFmtId="165"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pivotField showAll="0"/>
    <pivotField axis="axisRow" showAll="0">
      <items count="4">
        <item x="1"/>
        <item x="0"/>
        <item x="2"/>
        <item t="default"/>
      </items>
    </pivotField>
    <pivotField showAll="0"/>
    <pivotField showAll="0"/>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Fields count="1">
    <field x="-2"/>
  </colFields>
  <colItems count="2">
    <i>
      <x/>
    </i>
    <i i="1">
      <x v="1"/>
    </i>
  </colItems>
  <dataFields count="2">
    <dataField name="Sum of Sales" fld="8"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3C2FD4-C7FD-4E9F-B10B-F3E555427231}"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value filter">
  <location ref="A3:C12" firstHeaderRow="0" firstDataRow="1" firstDataCol="1"/>
  <pivotFields count="12">
    <pivotField showAll="0"/>
    <pivotField numFmtId="165" showAll="0">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showAll="0"/>
    <pivotField axis="axisRow" showAll="0" sortType="ascending">
      <items count="9">
        <item x="7"/>
        <item x="2"/>
        <item x="0"/>
        <item x="3"/>
        <item x="4"/>
        <item x="6"/>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9">
    <i>
      <x v="4"/>
    </i>
    <i>
      <x v="1"/>
    </i>
    <i>
      <x/>
    </i>
    <i>
      <x v="7"/>
    </i>
    <i>
      <x v="3"/>
    </i>
    <i>
      <x v="5"/>
    </i>
    <i>
      <x v="6"/>
    </i>
    <i>
      <x v="2"/>
    </i>
    <i t="grand">
      <x/>
    </i>
  </rowItems>
  <colFields count="1">
    <field x="-2"/>
  </colFields>
  <colItems count="2">
    <i>
      <x/>
    </i>
    <i i="1">
      <x v="1"/>
    </i>
  </colItems>
  <dataFields count="2">
    <dataField name="Sum of Sales" fld="8"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0FAD72-9A46-47C9-97AE-4D6502DFEEF6}" sourceName="Category">
  <pivotTables>
    <pivotTable tabId="5" name="PivotTable3"/>
  </pivotTables>
  <data>
    <tabular pivotCacheId="134936483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5521DD-2F43-42D4-B2B4-F7E4E0E29797}" sourceName="Region">
  <pivotTables>
    <pivotTable tabId="5" name="PivotTable3"/>
  </pivotTables>
  <data>
    <tabular pivotCacheId="1349364831">
      <items count="4">
        <i x="1" s="1"/>
        <i x="0"/>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97DCB8F-41EA-4B09-8D91-F07F8EFA5077}" cache="Slicer_Category" caption="Category" rowHeight="241300"/>
  <slicer name="Region" xr10:uid="{35443BBA-BFDA-4504-80DE-A41A0662CD2C}"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48C4C6-ACA7-4045-8D48-9D8F9802A84C}" name="Table1" displayName="Table1" ref="A1:J501" totalsRowShown="0" headerRowDxfId="0" headerRowBorderDxfId="2" tableBorderDxfId="3">
  <autoFilter ref="A1:J501" xr:uid="{00000000-0009-0000-0000-000000000000}"/>
  <tableColumns count="10">
    <tableColumn id="1" xr3:uid="{978C576D-1645-4AE7-89D0-BD7FDDB0D491}" name="Order ID"/>
    <tableColumn id="2" xr3:uid="{EE4C7799-944D-4C4A-A68D-86A684C2D343}" name="Order Date" dataDxfId="1"/>
    <tableColumn id="3" xr3:uid="{5DCD3DAA-C863-493D-AB35-2AD7BADFBC62}" name="Customer"/>
    <tableColumn id="4" xr3:uid="{9B9D7DDC-6AA6-4C68-AE4A-3069563DF19B}" name="Product"/>
    <tableColumn id="5" xr3:uid="{4AFB9223-C6F0-43AB-A3F0-F59F455CAD3D}" name="Category"/>
    <tableColumn id="6" xr3:uid="{597294A3-E0B1-46FA-A1A7-41D7C084ED31}" name="Region"/>
    <tableColumn id="7" xr3:uid="{F02D7D61-F6ED-4F7B-AD29-0726884657AA}" name="Quantity"/>
    <tableColumn id="8" xr3:uid="{59B55002-F4FF-4A4A-98F4-BEBCE83CB65A}" name="Unit Price"/>
    <tableColumn id="9" xr3:uid="{715D3C74-8011-4333-8F69-783F84F32A4A}" name="Sales"/>
    <tableColumn id="10" xr3:uid="{81193A59-9446-4269-813F-615D5EB0341D}"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C2B8C-69F8-475B-849B-0D66EAF17272}">
  <dimension ref="A3:C8"/>
  <sheetViews>
    <sheetView workbookViewId="0">
      <selection activeCell="A3" sqref="A3"/>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3" t="s">
        <v>623</v>
      </c>
      <c r="B3" t="s">
        <v>625</v>
      </c>
      <c r="C3" t="s">
        <v>626</v>
      </c>
    </row>
    <row r="4" spans="1:3" x14ac:dyDescent="0.35">
      <c r="A4" s="4" t="s">
        <v>18</v>
      </c>
      <c r="B4" s="5">
        <v>248685.29</v>
      </c>
      <c r="C4" s="5">
        <v>48820.56</v>
      </c>
    </row>
    <row r="5" spans="1:3" x14ac:dyDescent="0.35">
      <c r="A5" s="4" t="s">
        <v>14</v>
      </c>
      <c r="B5" s="5">
        <v>239650.94</v>
      </c>
      <c r="C5" s="5">
        <v>39301.480000000003</v>
      </c>
    </row>
    <row r="6" spans="1:3" x14ac:dyDescent="0.35">
      <c r="A6" s="4" t="s">
        <v>20</v>
      </c>
      <c r="B6" s="5">
        <v>168660.02</v>
      </c>
      <c r="C6" s="5">
        <v>31036.32</v>
      </c>
    </row>
    <row r="7" spans="1:3" x14ac:dyDescent="0.35">
      <c r="A7" s="4" t="s">
        <v>32</v>
      </c>
      <c r="B7" s="5">
        <v>195042.2</v>
      </c>
      <c r="C7" s="5">
        <v>42272.42</v>
      </c>
    </row>
    <row r="8" spans="1:3" x14ac:dyDescent="0.35">
      <c r="A8" s="4" t="s">
        <v>624</v>
      </c>
      <c r="B8" s="5">
        <v>852038.45</v>
      </c>
      <c r="C8" s="5">
        <v>161430.78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696A-C03D-4CFE-BE41-DBBBD1F15366}">
  <dimension ref="A3:C8"/>
  <sheetViews>
    <sheetView topLeftCell="A21" workbookViewId="0">
      <selection activeCell="C6" sqref="C6"/>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3" t="s">
        <v>623</v>
      </c>
      <c r="B3" t="s">
        <v>625</v>
      </c>
      <c r="C3" t="s">
        <v>626</v>
      </c>
    </row>
    <row r="4" spans="1:3" x14ac:dyDescent="0.35">
      <c r="A4" s="4" t="s">
        <v>18</v>
      </c>
      <c r="B4" s="5">
        <v>248685.29000000007</v>
      </c>
      <c r="C4" s="5">
        <v>48820.56</v>
      </c>
    </row>
    <row r="5" spans="1:3" x14ac:dyDescent="0.35">
      <c r="A5" s="4" t="s">
        <v>14</v>
      </c>
      <c r="B5" s="5">
        <v>239650.93999999997</v>
      </c>
      <c r="C5" s="5">
        <v>39301.48000000001</v>
      </c>
    </row>
    <row r="6" spans="1:3" x14ac:dyDescent="0.35">
      <c r="A6" s="4" t="s">
        <v>20</v>
      </c>
      <c r="B6" s="5">
        <v>168660.02000000002</v>
      </c>
      <c r="C6" s="5">
        <v>31036.320000000014</v>
      </c>
    </row>
    <row r="7" spans="1:3" x14ac:dyDescent="0.35">
      <c r="A7" s="4" t="s">
        <v>32</v>
      </c>
      <c r="B7" s="5">
        <v>195042.20000000007</v>
      </c>
      <c r="C7" s="5">
        <v>42272.419999999984</v>
      </c>
    </row>
    <row r="8" spans="1:3" x14ac:dyDescent="0.35">
      <c r="A8" s="4" t="s">
        <v>624</v>
      </c>
      <c r="B8" s="5">
        <v>852038.45000000007</v>
      </c>
      <c r="C8" s="5">
        <v>161430.78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74259-896B-4928-B2E6-C47A448DF9DC}">
  <dimension ref="A3:B16"/>
  <sheetViews>
    <sheetView workbookViewId="0">
      <selection activeCell="A7" sqref="A7"/>
    </sheetView>
  </sheetViews>
  <sheetFormatPr defaultRowHeight="14.5" x14ac:dyDescent="0.35"/>
  <cols>
    <col min="1" max="1" width="12.36328125" bestFit="1" customWidth="1"/>
    <col min="2" max="2" width="11.26953125" bestFit="1" customWidth="1"/>
  </cols>
  <sheetData>
    <row r="3" spans="1:2" x14ac:dyDescent="0.35">
      <c r="A3" s="3" t="s">
        <v>623</v>
      </c>
      <c r="B3" t="s">
        <v>625</v>
      </c>
    </row>
    <row r="4" spans="1:2" x14ac:dyDescent="0.35">
      <c r="A4" s="4" t="s">
        <v>627</v>
      </c>
      <c r="B4" s="5">
        <v>12385.660000000002</v>
      </c>
    </row>
    <row r="5" spans="1:2" x14ac:dyDescent="0.35">
      <c r="A5" s="4" t="s">
        <v>628</v>
      </c>
      <c r="B5" s="5">
        <v>21374.81</v>
      </c>
    </row>
    <row r="6" spans="1:2" x14ac:dyDescent="0.35">
      <c r="A6" s="4" t="s">
        <v>629</v>
      </c>
      <c r="B6" s="5">
        <v>38157.339999999997</v>
      </c>
    </row>
    <row r="7" spans="1:2" x14ac:dyDescent="0.35">
      <c r="A7" s="4" t="s">
        <v>630</v>
      </c>
      <c r="B7" s="5">
        <v>25883.200000000001</v>
      </c>
    </row>
    <row r="8" spans="1:2" x14ac:dyDescent="0.35">
      <c r="A8" s="4" t="s">
        <v>631</v>
      </c>
      <c r="B8" s="5">
        <v>29913.330000000009</v>
      </c>
    </row>
    <row r="9" spans="1:2" x14ac:dyDescent="0.35">
      <c r="A9" s="4" t="s">
        <v>632</v>
      </c>
      <c r="B9" s="5">
        <v>15293.029999999999</v>
      </c>
    </row>
    <row r="10" spans="1:2" x14ac:dyDescent="0.35">
      <c r="A10" s="4" t="s">
        <v>633</v>
      </c>
      <c r="B10" s="5">
        <v>15240.369999999997</v>
      </c>
    </row>
    <row r="11" spans="1:2" x14ac:dyDescent="0.35">
      <c r="A11" s="4" t="s">
        <v>634</v>
      </c>
      <c r="B11" s="5">
        <v>16901.66</v>
      </c>
    </row>
    <row r="12" spans="1:2" x14ac:dyDescent="0.35">
      <c r="A12" s="4" t="s">
        <v>635</v>
      </c>
      <c r="B12" s="5">
        <v>21876.050000000003</v>
      </c>
    </row>
    <row r="13" spans="1:2" x14ac:dyDescent="0.35">
      <c r="A13" s="4" t="s">
        <v>636</v>
      </c>
      <c r="B13" s="5">
        <v>8309.0400000000009</v>
      </c>
    </row>
    <row r="14" spans="1:2" x14ac:dyDescent="0.35">
      <c r="A14" s="4" t="s">
        <v>637</v>
      </c>
      <c r="B14" s="5">
        <v>20073.350000000002</v>
      </c>
    </row>
    <row r="15" spans="1:2" x14ac:dyDescent="0.35">
      <c r="A15" s="4" t="s">
        <v>638</v>
      </c>
      <c r="B15" s="5">
        <v>23277.449999999997</v>
      </c>
    </row>
    <row r="16" spans="1:2" x14ac:dyDescent="0.35">
      <c r="A16" s="4" t="s">
        <v>624</v>
      </c>
      <c r="B16" s="5">
        <v>248685.29000000004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81419-F479-449B-B078-A61DF3A551E4}">
  <dimension ref="A3:C7"/>
  <sheetViews>
    <sheetView workbookViewId="0">
      <selection activeCell="M3" sqref="M3"/>
    </sheetView>
  </sheetViews>
  <sheetFormatPr defaultRowHeight="14.5" x14ac:dyDescent="0.35"/>
  <cols>
    <col min="1" max="1" width="10.7265625" bestFit="1" customWidth="1"/>
    <col min="2" max="2" width="11.26953125" bestFit="1" customWidth="1"/>
    <col min="3" max="3" width="11.81640625" bestFit="1" customWidth="1"/>
  </cols>
  <sheetData>
    <row r="3" spans="1:3" x14ac:dyDescent="0.35">
      <c r="A3" s="3" t="s">
        <v>639</v>
      </c>
      <c r="B3" t="s">
        <v>625</v>
      </c>
      <c r="C3" t="s">
        <v>626</v>
      </c>
    </row>
    <row r="4" spans="1:3" x14ac:dyDescent="0.35">
      <c r="A4" s="4" t="s">
        <v>24</v>
      </c>
      <c r="B4" s="5">
        <v>104168.73000000003</v>
      </c>
      <c r="C4" s="5">
        <v>19789.340000000018</v>
      </c>
    </row>
    <row r="5" spans="1:3" x14ac:dyDescent="0.35">
      <c r="A5" s="4" t="s">
        <v>13</v>
      </c>
      <c r="B5" s="5">
        <v>663971.88000000024</v>
      </c>
      <c r="C5" s="5">
        <v>124720.25000000001</v>
      </c>
    </row>
    <row r="6" spans="1:3" x14ac:dyDescent="0.35">
      <c r="A6" s="4" t="s">
        <v>64</v>
      </c>
      <c r="B6" s="5">
        <v>83897.840000000011</v>
      </c>
      <c r="C6" s="5">
        <v>16921.190000000006</v>
      </c>
    </row>
    <row r="7" spans="1:3" x14ac:dyDescent="0.35">
      <c r="A7" s="4" t="s">
        <v>624</v>
      </c>
      <c r="B7" s="5">
        <v>852038.45000000019</v>
      </c>
      <c r="C7" s="5">
        <v>161430.78000000003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DB975-8E23-4003-BBCD-F9263EB86610}">
  <dimension ref="A3:C12"/>
  <sheetViews>
    <sheetView workbookViewId="0">
      <selection activeCell="C5" sqref="C5"/>
    </sheetView>
  </sheetViews>
  <sheetFormatPr defaultRowHeight="14.5" x14ac:dyDescent="0.35"/>
  <cols>
    <col min="1" max="1" width="12" bestFit="1" customWidth="1"/>
    <col min="2" max="2" width="11.26953125" bestFit="1" customWidth="1"/>
    <col min="3" max="3" width="11.81640625" bestFit="1" customWidth="1"/>
  </cols>
  <sheetData>
    <row r="3" spans="1:3" x14ac:dyDescent="0.35">
      <c r="A3" s="3" t="s">
        <v>640</v>
      </c>
      <c r="B3" t="s">
        <v>625</v>
      </c>
      <c r="C3" t="s">
        <v>626</v>
      </c>
    </row>
    <row r="4" spans="1:3" x14ac:dyDescent="0.35">
      <c r="A4" s="4" t="s">
        <v>37</v>
      </c>
      <c r="B4" s="5">
        <v>15316.559999999998</v>
      </c>
      <c r="C4" s="5">
        <v>2835.3899999999981</v>
      </c>
    </row>
    <row r="5" spans="1:3" x14ac:dyDescent="0.35">
      <c r="A5" s="4" t="s">
        <v>23</v>
      </c>
      <c r="B5" s="5">
        <v>17932.329999999991</v>
      </c>
      <c r="C5" s="5">
        <v>3504.4700000000003</v>
      </c>
    </row>
    <row r="6" spans="1:3" x14ac:dyDescent="0.35">
      <c r="A6" s="4" t="s">
        <v>87</v>
      </c>
      <c r="B6" s="5">
        <v>31211.420000000006</v>
      </c>
      <c r="C6" s="5">
        <v>5832.46</v>
      </c>
    </row>
    <row r="7" spans="1:3" x14ac:dyDescent="0.35">
      <c r="A7" s="4" t="s">
        <v>40</v>
      </c>
      <c r="B7" s="5">
        <v>39708.419999999991</v>
      </c>
      <c r="C7" s="5">
        <v>7617.02</v>
      </c>
    </row>
    <row r="8" spans="1:3" x14ac:dyDescent="0.35">
      <c r="A8" s="4" t="s">
        <v>27</v>
      </c>
      <c r="B8" s="5">
        <v>68300.28</v>
      </c>
      <c r="C8" s="5">
        <v>12800.810000000003</v>
      </c>
    </row>
    <row r="9" spans="1:3" x14ac:dyDescent="0.35">
      <c r="A9" s="4" t="s">
        <v>63</v>
      </c>
      <c r="B9" s="5">
        <v>83897.840000000011</v>
      </c>
      <c r="C9" s="5">
        <v>16921.190000000006</v>
      </c>
    </row>
    <row r="10" spans="1:3" x14ac:dyDescent="0.35">
      <c r="A10" s="4" t="s">
        <v>17</v>
      </c>
      <c r="B10" s="5">
        <v>187258.86000000004</v>
      </c>
      <c r="C10" s="5">
        <v>32401.939999999988</v>
      </c>
    </row>
    <row r="11" spans="1:3" x14ac:dyDescent="0.35">
      <c r="A11" s="4" t="s">
        <v>12</v>
      </c>
      <c r="B11" s="5">
        <v>408412.73999999987</v>
      </c>
      <c r="C11" s="5">
        <v>79517.500000000015</v>
      </c>
    </row>
    <row r="12" spans="1:3" x14ac:dyDescent="0.35">
      <c r="A12" s="4" t="s">
        <v>624</v>
      </c>
      <c r="B12" s="5">
        <v>852038.44999999984</v>
      </c>
      <c r="C12" s="5">
        <v>161430.78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pane ySplit="1" topLeftCell="A2" activePane="bottomLeft" state="frozen"/>
      <selection pane="bottomLeft" activeCell="A2" sqref="A2:J501"/>
    </sheetView>
  </sheetViews>
  <sheetFormatPr defaultRowHeight="14.5" x14ac:dyDescent="0.35"/>
  <cols>
    <col min="1" max="1" width="10" customWidth="1"/>
    <col min="2" max="2" width="21" customWidth="1"/>
    <col min="3" max="3" width="14" customWidth="1"/>
    <col min="4" max="4" width="12" customWidth="1"/>
    <col min="5" max="5" width="13" customWidth="1"/>
    <col min="6" max="6" width="8.453125" customWidth="1"/>
    <col min="7" max="7" width="10.1796875" customWidth="1"/>
    <col min="8" max="8" width="12" customWidth="1"/>
    <col min="9" max="9" width="10" customWidth="1"/>
    <col min="10" max="10" width="9" customWidth="1"/>
  </cols>
  <sheetData>
    <row r="1" spans="1:10" x14ac:dyDescent="0.35">
      <c r="A1" s="2" t="s">
        <v>0</v>
      </c>
      <c r="B1" s="2" t="s">
        <v>1</v>
      </c>
      <c r="C1" s="2" t="s">
        <v>2</v>
      </c>
      <c r="D1" s="2" t="s">
        <v>3</v>
      </c>
      <c r="E1" s="2" t="s">
        <v>4</v>
      </c>
      <c r="F1" s="2" t="s">
        <v>5</v>
      </c>
      <c r="G1" s="2" t="s">
        <v>6</v>
      </c>
      <c r="H1" s="2" t="s">
        <v>7</v>
      </c>
      <c r="I1" s="2" t="s">
        <v>8</v>
      </c>
      <c r="J1" s="2" t="s">
        <v>9</v>
      </c>
    </row>
    <row r="2" spans="1:10" x14ac:dyDescent="0.35">
      <c r="A2" t="s">
        <v>10</v>
      </c>
      <c r="B2" s="1">
        <v>45660</v>
      </c>
      <c r="C2" t="s">
        <v>11</v>
      </c>
      <c r="D2" t="s">
        <v>12</v>
      </c>
      <c r="E2" t="s">
        <v>13</v>
      </c>
      <c r="F2" t="s">
        <v>14</v>
      </c>
      <c r="G2">
        <v>5</v>
      </c>
      <c r="H2">
        <v>977.24</v>
      </c>
      <c r="I2">
        <v>4886.2</v>
      </c>
      <c r="J2">
        <v>952.54</v>
      </c>
    </row>
    <row r="3" spans="1:10" x14ac:dyDescent="0.35">
      <c r="A3" t="s">
        <v>15</v>
      </c>
      <c r="B3" s="1">
        <v>45660</v>
      </c>
      <c r="C3" t="s">
        <v>16</v>
      </c>
      <c r="D3" t="s">
        <v>17</v>
      </c>
      <c r="E3" t="s">
        <v>13</v>
      </c>
      <c r="F3" t="s">
        <v>18</v>
      </c>
      <c r="G3">
        <v>1</v>
      </c>
      <c r="H3">
        <v>580.91</v>
      </c>
      <c r="I3">
        <v>580.91</v>
      </c>
      <c r="J3">
        <v>120.24</v>
      </c>
    </row>
    <row r="4" spans="1:10" x14ac:dyDescent="0.35">
      <c r="A4" t="s">
        <v>19</v>
      </c>
      <c r="B4" s="1">
        <v>45660</v>
      </c>
      <c r="C4" t="s">
        <v>16</v>
      </c>
      <c r="D4" t="s">
        <v>17</v>
      </c>
      <c r="E4" t="s">
        <v>13</v>
      </c>
      <c r="F4" t="s">
        <v>20</v>
      </c>
      <c r="G4">
        <v>1</v>
      </c>
      <c r="H4">
        <v>426.6</v>
      </c>
      <c r="I4">
        <v>426.6</v>
      </c>
      <c r="J4">
        <v>61.99</v>
      </c>
    </row>
    <row r="5" spans="1:10" x14ac:dyDescent="0.35">
      <c r="A5" t="s">
        <v>21</v>
      </c>
      <c r="B5" s="1">
        <v>45661</v>
      </c>
      <c r="C5" t="s">
        <v>22</v>
      </c>
      <c r="D5" t="s">
        <v>23</v>
      </c>
      <c r="E5" t="s">
        <v>24</v>
      </c>
      <c r="F5" t="s">
        <v>14</v>
      </c>
      <c r="G5">
        <v>9</v>
      </c>
      <c r="H5">
        <v>64.849999999999994</v>
      </c>
      <c r="I5">
        <v>583.65</v>
      </c>
      <c r="J5">
        <v>98.04</v>
      </c>
    </row>
    <row r="6" spans="1:10" x14ac:dyDescent="0.35">
      <c r="A6" t="s">
        <v>25</v>
      </c>
      <c r="B6" s="1">
        <v>45662</v>
      </c>
      <c r="C6" t="s">
        <v>26</v>
      </c>
      <c r="D6" t="s">
        <v>27</v>
      </c>
      <c r="E6" t="s">
        <v>13</v>
      </c>
      <c r="F6" t="s">
        <v>18</v>
      </c>
      <c r="G6">
        <v>2</v>
      </c>
      <c r="H6">
        <v>355.91</v>
      </c>
      <c r="I6">
        <v>711.82</v>
      </c>
      <c r="J6">
        <v>145.07</v>
      </c>
    </row>
    <row r="7" spans="1:10" x14ac:dyDescent="0.35">
      <c r="A7" t="s">
        <v>28</v>
      </c>
      <c r="B7" s="1">
        <v>45664</v>
      </c>
      <c r="C7" t="s">
        <v>29</v>
      </c>
      <c r="D7" t="s">
        <v>17</v>
      </c>
      <c r="E7" t="s">
        <v>13</v>
      </c>
      <c r="F7" t="s">
        <v>14</v>
      </c>
      <c r="G7">
        <v>10</v>
      </c>
      <c r="H7">
        <v>417.64</v>
      </c>
      <c r="I7">
        <v>4176.3999999999996</v>
      </c>
      <c r="J7">
        <v>1209.4100000000001</v>
      </c>
    </row>
    <row r="8" spans="1:10" x14ac:dyDescent="0.35">
      <c r="A8" t="s">
        <v>30</v>
      </c>
      <c r="B8" s="1">
        <v>45664</v>
      </c>
      <c r="C8" t="s">
        <v>31</v>
      </c>
      <c r="D8" t="s">
        <v>23</v>
      </c>
      <c r="E8" t="s">
        <v>24</v>
      </c>
      <c r="F8" t="s">
        <v>32</v>
      </c>
      <c r="G8">
        <v>3</v>
      </c>
      <c r="H8">
        <v>62.8</v>
      </c>
      <c r="I8">
        <v>188.4</v>
      </c>
      <c r="J8">
        <v>22.27</v>
      </c>
    </row>
    <row r="9" spans="1:10" x14ac:dyDescent="0.35">
      <c r="A9" t="s">
        <v>33</v>
      </c>
      <c r="B9" s="1">
        <v>45665</v>
      </c>
      <c r="C9" t="s">
        <v>34</v>
      </c>
      <c r="D9" t="s">
        <v>17</v>
      </c>
      <c r="E9" t="s">
        <v>13</v>
      </c>
      <c r="F9" t="s">
        <v>18</v>
      </c>
      <c r="G9">
        <v>4</v>
      </c>
      <c r="H9">
        <v>275.92</v>
      </c>
      <c r="I9">
        <v>1103.68</v>
      </c>
      <c r="J9">
        <v>274.70999999999998</v>
      </c>
    </row>
    <row r="10" spans="1:10" x14ac:dyDescent="0.35">
      <c r="A10" t="s">
        <v>35</v>
      </c>
      <c r="B10" s="1">
        <v>45665</v>
      </c>
      <c r="C10" t="s">
        <v>36</v>
      </c>
      <c r="D10" t="s">
        <v>37</v>
      </c>
      <c r="E10" t="s">
        <v>24</v>
      </c>
      <c r="F10" t="s">
        <v>14</v>
      </c>
      <c r="G10">
        <v>7</v>
      </c>
      <c r="H10">
        <v>47.66</v>
      </c>
      <c r="I10">
        <v>333.62</v>
      </c>
      <c r="J10">
        <v>54.06</v>
      </c>
    </row>
    <row r="11" spans="1:10" x14ac:dyDescent="0.35">
      <c r="A11" t="s">
        <v>38</v>
      </c>
      <c r="B11" s="1">
        <v>45667</v>
      </c>
      <c r="C11" t="s">
        <v>39</v>
      </c>
      <c r="D11" t="s">
        <v>40</v>
      </c>
      <c r="E11" t="s">
        <v>24</v>
      </c>
      <c r="F11" t="s">
        <v>14</v>
      </c>
      <c r="G11">
        <v>2</v>
      </c>
      <c r="H11">
        <v>150.21</v>
      </c>
      <c r="I11">
        <v>300.42</v>
      </c>
      <c r="J11">
        <v>26.92</v>
      </c>
    </row>
    <row r="12" spans="1:10" x14ac:dyDescent="0.35">
      <c r="A12" t="s">
        <v>41</v>
      </c>
      <c r="B12" s="1">
        <v>45667</v>
      </c>
      <c r="C12" t="s">
        <v>42</v>
      </c>
      <c r="D12" t="s">
        <v>23</v>
      </c>
      <c r="E12" t="s">
        <v>24</v>
      </c>
      <c r="F12" t="s">
        <v>18</v>
      </c>
      <c r="G12">
        <v>10</v>
      </c>
      <c r="H12">
        <v>92.85</v>
      </c>
      <c r="I12">
        <v>928.5</v>
      </c>
      <c r="J12">
        <v>233.98</v>
      </c>
    </row>
    <row r="13" spans="1:10" x14ac:dyDescent="0.35">
      <c r="A13" t="s">
        <v>43</v>
      </c>
      <c r="B13" s="1">
        <v>45667</v>
      </c>
      <c r="C13" t="s">
        <v>44</v>
      </c>
      <c r="D13" t="s">
        <v>37</v>
      </c>
      <c r="E13" t="s">
        <v>24</v>
      </c>
      <c r="F13" t="s">
        <v>18</v>
      </c>
      <c r="G13">
        <v>6</v>
      </c>
      <c r="H13">
        <v>32.979999999999997</v>
      </c>
      <c r="I13">
        <v>197.88</v>
      </c>
      <c r="J13">
        <v>32.39</v>
      </c>
    </row>
    <row r="14" spans="1:10" x14ac:dyDescent="0.35">
      <c r="A14" t="s">
        <v>45</v>
      </c>
      <c r="B14" s="1">
        <v>45668</v>
      </c>
      <c r="C14" t="s">
        <v>46</v>
      </c>
      <c r="D14" t="s">
        <v>17</v>
      </c>
      <c r="E14" t="s">
        <v>13</v>
      </c>
      <c r="F14" t="s">
        <v>20</v>
      </c>
      <c r="G14">
        <v>10</v>
      </c>
      <c r="H14">
        <v>546.04999999999995</v>
      </c>
      <c r="I14">
        <v>5460.5</v>
      </c>
      <c r="J14">
        <v>1077.75</v>
      </c>
    </row>
    <row r="15" spans="1:10" x14ac:dyDescent="0.35">
      <c r="A15" t="s">
        <v>47</v>
      </c>
      <c r="B15" s="1">
        <v>45669</v>
      </c>
      <c r="C15" t="s">
        <v>48</v>
      </c>
      <c r="D15" t="s">
        <v>27</v>
      </c>
      <c r="E15" t="s">
        <v>13</v>
      </c>
      <c r="F15" t="s">
        <v>18</v>
      </c>
      <c r="G15">
        <v>2</v>
      </c>
      <c r="H15">
        <v>411.09</v>
      </c>
      <c r="I15">
        <v>822.18</v>
      </c>
      <c r="J15">
        <v>205.56</v>
      </c>
    </row>
    <row r="16" spans="1:10" x14ac:dyDescent="0.35">
      <c r="A16" t="s">
        <v>49</v>
      </c>
      <c r="B16" s="1">
        <v>45669</v>
      </c>
      <c r="C16" t="s">
        <v>50</v>
      </c>
      <c r="D16" t="s">
        <v>40</v>
      </c>
      <c r="E16" t="s">
        <v>24</v>
      </c>
      <c r="F16" t="s">
        <v>20</v>
      </c>
      <c r="G16">
        <v>7</v>
      </c>
      <c r="H16">
        <v>46.2</v>
      </c>
      <c r="I16">
        <v>323.39999999999998</v>
      </c>
      <c r="J16">
        <v>34.11</v>
      </c>
    </row>
    <row r="17" spans="1:10" x14ac:dyDescent="0.35">
      <c r="A17" t="s">
        <v>51</v>
      </c>
      <c r="B17" s="1">
        <v>45669</v>
      </c>
      <c r="C17" t="s">
        <v>52</v>
      </c>
      <c r="D17" t="s">
        <v>17</v>
      </c>
      <c r="E17" t="s">
        <v>13</v>
      </c>
      <c r="F17" t="s">
        <v>14</v>
      </c>
      <c r="G17">
        <v>5</v>
      </c>
      <c r="H17">
        <v>451.08</v>
      </c>
      <c r="I17">
        <v>2255.4</v>
      </c>
      <c r="J17">
        <v>652.54</v>
      </c>
    </row>
    <row r="18" spans="1:10" x14ac:dyDescent="0.35">
      <c r="A18" t="s">
        <v>53</v>
      </c>
      <c r="B18" s="1">
        <v>45670</v>
      </c>
      <c r="C18" t="s">
        <v>54</v>
      </c>
      <c r="D18" t="s">
        <v>37</v>
      </c>
      <c r="E18" t="s">
        <v>24</v>
      </c>
      <c r="F18" t="s">
        <v>32</v>
      </c>
      <c r="G18">
        <v>3</v>
      </c>
      <c r="H18">
        <v>24.4</v>
      </c>
      <c r="I18">
        <v>73.2</v>
      </c>
      <c r="J18">
        <v>19.13</v>
      </c>
    </row>
    <row r="19" spans="1:10" x14ac:dyDescent="0.35">
      <c r="A19" t="s">
        <v>55</v>
      </c>
      <c r="B19" s="1">
        <v>45670</v>
      </c>
      <c r="C19" t="s">
        <v>56</v>
      </c>
      <c r="D19" t="s">
        <v>37</v>
      </c>
      <c r="E19" t="s">
        <v>24</v>
      </c>
      <c r="F19" t="s">
        <v>18</v>
      </c>
      <c r="G19">
        <v>1</v>
      </c>
      <c r="H19">
        <v>15.15</v>
      </c>
      <c r="I19">
        <v>15.15</v>
      </c>
      <c r="J19">
        <v>3.17</v>
      </c>
    </row>
    <row r="20" spans="1:10" x14ac:dyDescent="0.35">
      <c r="A20" t="s">
        <v>57</v>
      </c>
      <c r="B20" s="1">
        <v>45671</v>
      </c>
      <c r="C20" t="s">
        <v>58</v>
      </c>
      <c r="D20" t="s">
        <v>12</v>
      </c>
      <c r="E20" t="s">
        <v>13</v>
      </c>
      <c r="F20" t="s">
        <v>20</v>
      </c>
      <c r="G20">
        <v>7</v>
      </c>
      <c r="H20">
        <v>1296.5</v>
      </c>
      <c r="I20">
        <v>9075.5</v>
      </c>
      <c r="J20">
        <v>2369.6</v>
      </c>
    </row>
    <row r="21" spans="1:10" x14ac:dyDescent="0.35">
      <c r="A21" t="s">
        <v>59</v>
      </c>
      <c r="B21" s="1">
        <v>45671</v>
      </c>
      <c r="C21" t="s">
        <v>60</v>
      </c>
      <c r="D21" t="s">
        <v>23</v>
      </c>
      <c r="E21" t="s">
        <v>24</v>
      </c>
      <c r="F21" t="s">
        <v>32</v>
      </c>
      <c r="G21">
        <v>7</v>
      </c>
      <c r="H21">
        <v>58.13</v>
      </c>
      <c r="I21">
        <v>406.91</v>
      </c>
      <c r="J21">
        <v>101.56</v>
      </c>
    </row>
    <row r="22" spans="1:10" x14ac:dyDescent="0.35">
      <c r="A22" t="s">
        <v>61</v>
      </c>
      <c r="B22" s="1">
        <v>45671</v>
      </c>
      <c r="C22" t="s">
        <v>62</v>
      </c>
      <c r="D22" t="s">
        <v>63</v>
      </c>
      <c r="E22" t="s">
        <v>64</v>
      </c>
      <c r="F22" t="s">
        <v>14</v>
      </c>
      <c r="G22">
        <v>3</v>
      </c>
      <c r="H22">
        <v>435.36</v>
      </c>
      <c r="I22">
        <v>1306.08</v>
      </c>
      <c r="J22">
        <v>367.18</v>
      </c>
    </row>
    <row r="23" spans="1:10" x14ac:dyDescent="0.35">
      <c r="A23" t="s">
        <v>65</v>
      </c>
      <c r="B23" s="1">
        <v>45671</v>
      </c>
      <c r="C23" t="s">
        <v>66</v>
      </c>
      <c r="D23" t="s">
        <v>37</v>
      </c>
      <c r="E23" t="s">
        <v>24</v>
      </c>
      <c r="F23" t="s">
        <v>32</v>
      </c>
      <c r="G23">
        <v>1</v>
      </c>
      <c r="H23">
        <v>36.99</v>
      </c>
      <c r="I23">
        <v>36.99</v>
      </c>
      <c r="J23">
        <v>9.06</v>
      </c>
    </row>
    <row r="24" spans="1:10" x14ac:dyDescent="0.35">
      <c r="A24" t="s">
        <v>67</v>
      </c>
      <c r="B24" s="1">
        <v>45674</v>
      </c>
      <c r="C24" t="s">
        <v>68</v>
      </c>
      <c r="D24" t="s">
        <v>17</v>
      </c>
      <c r="E24" t="s">
        <v>13</v>
      </c>
      <c r="F24" t="s">
        <v>32</v>
      </c>
      <c r="G24">
        <v>10</v>
      </c>
      <c r="H24">
        <v>589.65</v>
      </c>
      <c r="I24">
        <v>5896.5</v>
      </c>
      <c r="J24">
        <v>1315.3</v>
      </c>
    </row>
    <row r="25" spans="1:10" x14ac:dyDescent="0.35">
      <c r="A25" t="s">
        <v>69</v>
      </c>
      <c r="B25" s="1">
        <v>45674</v>
      </c>
      <c r="C25" t="s">
        <v>70</v>
      </c>
      <c r="D25" t="s">
        <v>40</v>
      </c>
      <c r="E25" t="s">
        <v>24</v>
      </c>
      <c r="F25" t="s">
        <v>20</v>
      </c>
      <c r="G25">
        <v>10</v>
      </c>
      <c r="H25">
        <v>96.19</v>
      </c>
      <c r="I25">
        <v>961.9</v>
      </c>
      <c r="J25">
        <v>205.23</v>
      </c>
    </row>
    <row r="26" spans="1:10" x14ac:dyDescent="0.35">
      <c r="A26" t="s">
        <v>71</v>
      </c>
      <c r="B26" s="1">
        <v>45675</v>
      </c>
      <c r="C26" t="s">
        <v>72</v>
      </c>
      <c r="D26" t="s">
        <v>37</v>
      </c>
      <c r="E26" t="s">
        <v>24</v>
      </c>
      <c r="F26" t="s">
        <v>18</v>
      </c>
      <c r="G26">
        <v>6</v>
      </c>
      <c r="H26">
        <v>44.94</v>
      </c>
      <c r="I26">
        <v>269.64</v>
      </c>
      <c r="J26">
        <v>40.74</v>
      </c>
    </row>
    <row r="27" spans="1:10" x14ac:dyDescent="0.35">
      <c r="A27" t="s">
        <v>73</v>
      </c>
      <c r="B27" s="1">
        <v>45676</v>
      </c>
      <c r="C27" t="s">
        <v>68</v>
      </c>
      <c r="D27" t="s">
        <v>23</v>
      </c>
      <c r="E27" t="s">
        <v>24</v>
      </c>
      <c r="F27" t="s">
        <v>14</v>
      </c>
      <c r="G27">
        <v>8</v>
      </c>
      <c r="H27">
        <v>41.73</v>
      </c>
      <c r="I27">
        <v>333.84</v>
      </c>
      <c r="J27">
        <v>67.59</v>
      </c>
    </row>
    <row r="28" spans="1:10" x14ac:dyDescent="0.35">
      <c r="A28" t="s">
        <v>74</v>
      </c>
      <c r="B28" s="1">
        <v>45676</v>
      </c>
      <c r="C28" t="s">
        <v>75</v>
      </c>
      <c r="D28" t="s">
        <v>63</v>
      </c>
      <c r="E28" t="s">
        <v>64</v>
      </c>
      <c r="F28" t="s">
        <v>14</v>
      </c>
      <c r="G28">
        <v>5</v>
      </c>
      <c r="H28">
        <v>253.02</v>
      </c>
      <c r="I28">
        <v>1265.0999999999999</v>
      </c>
      <c r="J28">
        <v>269.58</v>
      </c>
    </row>
    <row r="29" spans="1:10" x14ac:dyDescent="0.35">
      <c r="A29" t="s">
        <v>76</v>
      </c>
      <c r="B29" s="1">
        <v>45677</v>
      </c>
      <c r="C29" t="s">
        <v>77</v>
      </c>
      <c r="D29" t="s">
        <v>17</v>
      </c>
      <c r="E29" t="s">
        <v>13</v>
      </c>
      <c r="F29" t="s">
        <v>18</v>
      </c>
      <c r="G29">
        <v>7</v>
      </c>
      <c r="H29">
        <v>512.25</v>
      </c>
      <c r="I29">
        <v>3585.75</v>
      </c>
      <c r="J29">
        <v>372.78</v>
      </c>
    </row>
    <row r="30" spans="1:10" x14ac:dyDescent="0.35">
      <c r="A30" t="s">
        <v>78</v>
      </c>
      <c r="B30" s="1">
        <v>45677</v>
      </c>
      <c r="C30" t="s">
        <v>79</v>
      </c>
      <c r="D30" t="s">
        <v>63</v>
      </c>
      <c r="E30" t="s">
        <v>64</v>
      </c>
      <c r="F30" t="s">
        <v>18</v>
      </c>
      <c r="G30">
        <v>4</v>
      </c>
      <c r="H30">
        <v>449.77</v>
      </c>
      <c r="I30">
        <v>1799.08</v>
      </c>
      <c r="J30">
        <v>498.84</v>
      </c>
    </row>
    <row r="31" spans="1:10" x14ac:dyDescent="0.35">
      <c r="A31" t="s">
        <v>80</v>
      </c>
      <c r="B31" s="1">
        <v>45677</v>
      </c>
      <c r="C31" t="s">
        <v>54</v>
      </c>
      <c r="D31" t="s">
        <v>63</v>
      </c>
      <c r="E31" t="s">
        <v>64</v>
      </c>
      <c r="F31" t="s">
        <v>32</v>
      </c>
      <c r="G31">
        <v>10</v>
      </c>
      <c r="H31">
        <v>116.83</v>
      </c>
      <c r="I31">
        <v>1168.3</v>
      </c>
      <c r="J31">
        <v>313.83</v>
      </c>
    </row>
    <row r="32" spans="1:10" x14ac:dyDescent="0.35">
      <c r="A32" t="s">
        <v>81</v>
      </c>
      <c r="B32" s="1">
        <v>45677</v>
      </c>
      <c r="C32" t="s">
        <v>82</v>
      </c>
      <c r="D32" t="s">
        <v>37</v>
      </c>
      <c r="E32" t="s">
        <v>24</v>
      </c>
      <c r="F32" t="s">
        <v>20</v>
      </c>
      <c r="G32">
        <v>2</v>
      </c>
      <c r="H32">
        <v>36.119999999999997</v>
      </c>
      <c r="I32">
        <v>72.239999999999995</v>
      </c>
      <c r="J32">
        <v>14.24</v>
      </c>
    </row>
    <row r="33" spans="1:10" x14ac:dyDescent="0.35">
      <c r="A33" t="s">
        <v>83</v>
      </c>
      <c r="B33" s="1">
        <v>45678</v>
      </c>
      <c r="C33" t="s">
        <v>84</v>
      </c>
      <c r="D33" t="s">
        <v>40</v>
      </c>
      <c r="E33" t="s">
        <v>24</v>
      </c>
      <c r="F33" t="s">
        <v>32</v>
      </c>
      <c r="G33">
        <v>4</v>
      </c>
      <c r="H33">
        <v>67.290000000000006</v>
      </c>
      <c r="I33">
        <v>269.16000000000003</v>
      </c>
      <c r="J33">
        <v>23.95</v>
      </c>
    </row>
    <row r="34" spans="1:10" x14ac:dyDescent="0.35">
      <c r="A34" t="s">
        <v>85</v>
      </c>
      <c r="B34" s="1">
        <v>45679</v>
      </c>
      <c r="C34" t="s">
        <v>86</v>
      </c>
      <c r="D34" t="s">
        <v>87</v>
      </c>
      <c r="E34" t="s">
        <v>24</v>
      </c>
      <c r="F34" t="s">
        <v>32</v>
      </c>
      <c r="G34">
        <v>9</v>
      </c>
      <c r="H34">
        <v>45.99</v>
      </c>
      <c r="I34">
        <v>413.91</v>
      </c>
      <c r="J34">
        <v>120.84</v>
      </c>
    </row>
    <row r="35" spans="1:10" x14ac:dyDescent="0.35">
      <c r="A35" t="s">
        <v>88</v>
      </c>
      <c r="B35" s="1">
        <v>45680</v>
      </c>
      <c r="C35" t="s">
        <v>89</v>
      </c>
      <c r="D35" t="s">
        <v>40</v>
      </c>
      <c r="E35" t="s">
        <v>24</v>
      </c>
      <c r="F35" t="s">
        <v>32</v>
      </c>
      <c r="G35">
        <v>4</v>
      </c>
      <c r="H35">
        <v>149.86000000000001</v>
      </c>
      <c r="I35">
        <v>599.44000000000005</v>
      </c>
      <c r="J35">
        <v>89.91</v>
      </c>
    </row>
    <row r="36" spans="1:10" x14ac:dyDescent="0.35">
      <c r="A36" t="s">
        <v>90</v>
      </c>
      <c r="B36" s="1">
        <v>45681</v>
      </c>
      <c r="C36" t="s">
        <v>91</v>
      </c>
      <c r="D36" t="s">
        <v>17</v>
      </c>
      <c r="E36" t="s">
        <v>13</v>
      </c>
      <c r="F36" t="s">
        <v>14</v>
      </c>
      <c r="G36">
        <v>6</v>
      </c>
      <c r="H36">
        <v>563.67999999999995</v>
      </c>
      <c r="I36">
        <v>3382.08</v>
      </c>
      <c r="J36">
        <v>408.39</v>
      </c>
    </row>
    <row r="37" spans="1:10" x14ac:dyDescent="0.35">
      <c r="A37" t="s">
        <v>92</v>
      </c>
      <c r="B37" s="1">
        <v>45681</v>
      </c>
      <c r="C37" t="s">
        <v>22</v>
      </c>
      <c r="D37" t="s">
        <v>37</v>
      </c>
      <c r="E37" t="s">
        <v>24</v>
      </c>
      <c r="F37" t="s">
        <v>14</v>
      </c>
      <c r="G37">
        <v>1</v>
      </c>
      <c r="H37">
        <v>37.79</v>
      </c>
      <c r="I37">
        <v>37.79</v>
      </c>
      <c r="J37">
        <v>3.62</v>
      </c>
    </row>
    <row r="38" spans="1:10" x14ac:dyDescent="0.35">
      <c r="A38" t="s">
        <v>93</v>
      </c>
      <c r="B38" s="1">
        <v>45682</v>
      </c>
      <c r="C38" t="s">
        <v>94</v>
      </c>
      <c r="D38" t="s">
        <v>63</v>
      </c>
      <c r="E38" t="s">
        <v>64</v>
      </c>
      <c r="F38" t="s">
        <v>18</v>
      </c>
      <c r="G38">
        <v>10</v>
      </c>
      <c r="H38">
        <v>130.55000000000001</v>
      </c>
      <c r="I38">
        <v>1305.5</v>
      </c>
      <c r="J38">
        <v>298.61</v>
      </c>
    </row>
    <row r="39" spans="1:10" x14ac:dyDescent="0.35">
      <c r="A39" t="s">
        <v>95</v>
      </c>
      <c r="B39" s="1">
        <v>45682</v>
      </c>
      <c r="C39" t="s">
        <v>96</v>
      </c>
      <c r="D39" t="s">
        <v>37</v>
      </c>
      <c r="E39" t="s">
        <v>24</v>
      </c>
      <c r="F39" t="s">
        <v>32</v>
      </c>
      <c r="G39">
        <v>3</v>
      </c>
      <c r="H39">
        <v>40.31</v>
      </c>
      <c r="I39">
        <v>120.93</v>
      </c>
      <c r="J39">
        <v>23.7</v>
      </c>
    </row>
    <row r="40" spans="1:10" x14ac:dyDescent="0.35">
      <c r="A40" t="s">
        <v>97</v>
      </c>
      <c r="B40" s="1">
        <v>45682</v>
      </c>
      <c r="C40" t="s">
        <v>98</v>
      </c>
      <c r="D40" t="s">
        <v>12</v>
      </c>
      <c r="E40" t="s">
        <v>13</v>
      </c>
      <c r="F40" t="s">
        <v>14</v>
      </c>
      <c r="G40">
        <v>4</v>
      </c>
      <c r="H40">
        <v>502.44</v>
      </c>
      <c r="I40">
        <v>2009.76</v>
      </c>
      <c r="J40">
        <v>578.29999999999995</v>
      </c>
    </row>
    <row r="41" spans="1:10" x14ac:dyDescent="0.35">
      <c r="A41" t="s">
        <v>99</v>
      </c>
      <c r="B41" s="1">
        <v>45685</v>
      </c>
      <c r="C41" t="s">
        <v>100</v>
      </c>
      <c r="D41" t="s">
        <v>87</v>
      </c>
      <c r="E41" t="s">
        <v>24</v>
      </c>
      <c r="F41" t="s">
        <v>18</v>
      </c>
      <c r="G41">
        <v>7</v>
      </c>
      <c r="H41">
        <v>102.16</v>
      </c>
      <c r="I41">
        <v>715.12</v>
      </c>
      <c r="J41">
        <v>188.73</v>
      </c>
    </row>
    <row r="42" spans="1:10" x14ac:dyDescent="0.35">
      <c r="A42" t="s">
        <v>101</v>
      </c>
      <c r="B42" s="1">
        <v>45686</v>
      </c>
      <c r="C42" t="s">
        <v>16</v>
      </c>
      <c r="D42" t="s">
        <v>40</v>
      </c>
      <c r="E42" t="s">
        <v>24</v>
      </c>
      <c r="F42" t="s">
        <v>18</v>
      </c>
      <c r="G42">
        <v>5</v>
      </c>
      <c r="H42">
        <v>70.09</v>
      </c>
      <c r="I42">
        <v>350.45</v>
      </c>
      <c r="J42">
        <v>29.39</v>
      </c>
    </row>
    <row r="43" spans="1:10" x14ac:dyDescent="0.35">
      <c r="A43" t="s">
        <v>102</v>
      </c>
      <c r="B43" s="1">
        <v>45686</v>
      </c>
      <c r="C43" t="s">
        <v>79</v>
      </c>
      <c r="D43" t="s">
        <v>87</v>
      </c>
      <c r="E43" t="s">
        <v>24</v>
      </c>
      <c r="F43" t="s">
        <v>32</v>
      </c>
      <c r="G43">
        <v>3</v>
      </c>
      <c r="H43">
        <v>99.86</v>
      </c>
      <c r="I43">
        <v>299.58</v>
      </c>
      <c r="J43">
        <v>81.430000000000007</v>
      </c>
    </row>
    <row r="44" spans="1:10" x14ac:dyDescent="0.35">
      <c r="A44" t="s">
        <v>103</v>
      </c>
      <c r="B44" s="1">
        <v>45687</v>
      </c>
      <c r="C44" t="s">
        <v>104</v>
      </c>
      <c r="D44" t="s">
        <v>40</v>
      </c>
      <c r="E44" t="s">
        <v>24</v>
      </c>
      <c r="F44" t="s">
        <v>14</v>
      </c>
      <c r="G44">
        <v>3</v>
      </c>
      <c r="H44">
        <v>46.32</v>
      </c>
      <c r="I44">
        <v>138.96</v>
      </c>
      <c r="J44">
        <v>30.88</v>
      </c>
    </row>
    <row r="45" spans="1:10" x14ac:dyDescent="0.35">
      <c r="A45" t="s">
        <v>105</v>
      </c>
      <c r="B45" s="1">
        <v>45687</v>
      </c>
      <c r="C45" t="s">
        <v>106</v>
      </c>
      <c r="D45" t="s">
        <v>17</v>
      </c>
      <c r="E45" t="s">
        <v>13</v>
      </c>
      <c r="F45" t="s">
        <v>32</v>
      </c>
      <c r="G45">
        <v>3</v>
      </c>
      <c r="H45">
        <v>555.20000000000005</v>
      </c>
      <c r="I45">
        <v>1665.6</v>
      </c>
      <c r="J45">
        <v>450.74</v>
      </c>
    </row>
    <row r="46" spans="1:10" x14ac:dyDescent="0.35">
      <c r="A46" t="s">
        <v>107</v>
      </c>
      <c r="B46" s="1">
        <v>45688</v>
      </c>
      <c r="C46" t="s">
        <v>108</v>
      </c>
      <c r="D46" t="s">
        <v>12</v>
      </c>
      <c r="E46" t="s">
        <v>13</v>
      </c>
      <c r="F46" t="s">
        <v>14</v>
      </c>
      <c r="G46">
        <v>7</v>
      </c>
      <c r="H46">
        <v>1305.03</v>
      </c>
      <c r="I46">
        <v>9135.2099999999991</v>
      </c>
      <c r="J46">
        <v>1499.6</v>
      </c>
    </row>
    <row r="47" spans="1:10" x14ac:dyDescent="0.35">
      <c r="A47" t="s">
        <v>109</v>
      </c>
      <c r="B47" s="1">
        <v>45688</v>
      </c>
      <c r="C47" t="s">
        <v>58</v>
      </c>
      <c r="D47" t="s">
        <v>37</v>
      </c>
      <c r="E47" t="s">
        <v>24</v>
      </c>
      <c r="F47" t="s">
        <v>32</v>
      </c>
      <c r="G47">
        <v>10</v>
      </c>
      <c r="H47">
        <v>56.32</v>
      </c>
      <c r="I47">
        <v>563.20000000000005</v>
      </c>
      <c r="J47">
        <v>135.66</v>
      </c>
    </row>
    <row r="48" spans="1:10" x14ac:dyDescent="0.35">
      <c r="A48" t="s">
        <v>110</v>
      </c>
      <c r="B48" s="1">
        <v>45689</v>
      </c>
      <c r="C48" t="s">
        <v>100</v>
      </c>
      <c r="D48" t="s">
        <v>37</v>
      </c>
      <c r="E48" t="s">
        <v>24</v>
      </c>
      <c r="F48" t="s">
        <v>20</v>
      </c>
      <c r="G48">
        <v>1</v>
      </c>
      <c r="H48">
        <v>59.27</v>
      </c>
      <c r="I48">
        <v>59.27</v>
      </c>
      <c r="J48">
        <v>12.37</v>
      </c>
    </row>
    <row r="49" spans="1:10" x14ac:dyDescent="0.35">
      <c r="A49" t="s">
        <v>111</v>
      </c>
      <c r="B49" s="1">
        <v>45691</v>
      </c>
      <c r="C49" t="s">
        <v>112</v>
      </c>
      <c r="D49" t="s">
        <v>37</v>
      </c>
      <c r="E49" t="s">
        <v>24</v>
      </c>
      <c r="F49" t="s">
        <v>18</v>
      </c>
      <c r="G49">
        <v>10</v>
      </c>
      <c r="H49">
        <v>15.21</v>
      </c>
      <c r="I49">
        <v>152.1</v>
      </c>
      <c r="J49">
        <v>43.87</v>
      </c>
    </row>
    <row r="50" spans="1:10" x14ac:dyDescent="0.35">
      <c r="A50" t="s">
        <v>113</v>
      </c>
      <c r="B50" s="1">
        <v>45692</v>
      </c>
      <c r="C50" t="s">
        <v>39</v>
      </c>
      <c r="D50" t="s">
        <v>27</v>
      </c>
      <c r="E50" t="s">
        <v>13</v>
      </c>
      <c r="F50" t="s">
        <v>18</v>
      </c>
      <c r="G50">
        <v>6</v>
      </c>
      <c r="H50">
        <v>330.34</v>
      </c>
      <c r="I50">
        <v>1982.04</v>
      </c>
      <c r="J50">
        <v>450.54</v>
      </c>
    </row>
    <row r="51" spans="1:10" x14ac:dyDescent="0.35">
      <c r="A51" t="s">
        <v>114</v>
      </c>
      <c r="B51" s="1">
        <v>45693</v>
      </c>
      <c r="C51" t="s">
        <v>115</v>
      </c>
      <c r="D51" t="s">
        <v>87</v>
      </c>
      <c r="E51" t="s">
        <v>24</v>
      </c>
      <c r="F51" t="s">
        <v>18</v>
      </c>
      <c r="G51">
        <v>7</v>
      </c>
      <c r="H51">
        <v>162.44</v>
      </c>
      <c r="I51">
        <v>1137.08</v>
      </c>
      <c r="J51">
        <v>95.98</v>
      </c>
    </row>
    <row r="52" spans="1:10" x14ac:dyDescent="0.35">
      <c r="A52" t="s">
        <v>116</v>
      </c>
      <c r="B52" s="1">
        <v>45695</v>
      </c>
      <c r="C52" t="s">
        <v>117</v>
      </c>
      <c r="D52" t="s">
        <v>37</v>
      </c>
      <c r="E52" t="s">
        <v>24</v>
      </c>
      <c r="F52" t="s">
        <v>14</v>
      </c>
      <c r="G52">
        <v>7</v>
      </c>
      <c r="H52">
        <v>27.76</v>
      </c>
      <c r="I52">
        <v>194.32</v>
      </c>
      <c r="J52">
        <v>26.03</v>
      </c>
    </row>
    <row r="53" spans="1:10" x14ac:dyDescent="0.35">
      <c r="A53" t="s">
        <v>118</v>
      </c>
      <c r="B53" s="1">
        <v>45695</v>
      </c>
      <c r="C53" t="s">
        <v>34</v>
      </c>
      <c r="D53" t="s">
        <v>27</v>
      </c>
      <c r="E53" t="s">
        <v>13</v>
      </c>
      <c r="F53" t="s">
        <v>32</v>
      </c>
      <c r="G53">
        <v>2</v>
      </c>
      <c r="H53">
        <v>428.37</v>
      </c>
      <c r="I53">
        <v>856.74</v>
      </c>
      <c r="J53">
        <v>184.9</v>
      </c>
    </row>
    <row r="54" spans="1:10" x14ac:dyDescent="0.35">
      <c r="A54" t="s">
        <v>119</v>
      </c>
      <c r="B54" s="1">
        <v>45695</v>
      </c>
      <c r="C54" t="s">
        <v>120</v>
      </c>
      <c r="D54" t="s">
        <v>87</v>
      </c>
      <c r="E54" t="s">
        <v>24</v>
      </c>
      <c r="F54" t="s">
        <v>14</v>
      </c>
      <c r="G54">
        <v>3</v>
      </c>
      <c r="H54">
        <v>108.99</v>
      </c>
      <c r="I54">
        <v>326.97000000000003</v>
      </c>
      <c r="J54">
        <v>31.13</v>
      </c>
    </row>
    <row r="55" spans="1:10" x14ac:dyDescent="0.35">
      <c r="A55" t="s">
        <v>121</v>
      </c>
      <c r="B55" s="1">
        <v>45696</v>
      </c>
      <c r="C55" t="s">
        <v>122</v>
      </c>
      <c r="D55" t="s">
        <v>12</v>
      </c>
      <c r="E55" t="s">
        <v>13</v>
      </c>
      <c r="F55" t="s">
        <v>18</v>
      </c>
      <c r="G55">
        <v>6</v>
      </c>
      <c r="H55">
        <v>936.3</v>
      </c>
      <c r="I55">
        <v>5617.8</v>
      </c>
      <c r="J55">
        <v>1042.54</v>
      </c>
    </row>
    <row r="56" spans="1:10" x14ac:dyDescent="0.35">
      <c r="A56" t="s">
        <v>123</v>
      </c>
      <c r="B56" s="1">
        <v>45697</v>
      </c>
      <c r="C56" t="s">
        <v>124</v>
      </c>
      <c r="D56" t="s">
        <v>17</v>
      </c>
      <c r="E56" t="s">
        <v>13</v>
      </c>
      <c r="F56" t="s">
        <v>18</v>
      </c>
      <c r="G56">
        <v>10</v>
      </c>
      <c r="H56">
        <v>437.62</v>
      </c>
      <c r="I56">
        <v>4376.2</v>
      </c>
      <c r="J56">
        <v>567.24</v>
      </c>
    </row>
    <row r="57" spans="1:10" x14ac:dyDescent="0.35">
      <c r="A57" t="s">
        <v>125</v>
      </c>
      <c r="B57" s="1">
        <v>45699</v>
      </c>
      <c r="C57" t="s">
        <v>126</v>
      </c>
      <c r="D57" t="s">
        <v>17</v>
      </c>
      <c r="E57" t="s">
        <v>13</v>
      </c>
      <c r="F57" t="s">
        <v>14</v>
      </c>
      <c r="G57">
        <v>9</v>
      </c>
      <c r="H57">
        <v>496.11</v>
      </c>
      <c r="I57">
        <v>4464.99</v>
      </c>
      <c r="J57">
        <v>518.29999999999995</v>
      </c>
    </row>
    <row r="58" spans="1:10" x14ac:dyDescent="0.35">
      <c r="A58" t="s">
        <v>127</v>
      </c>
      <c r="B58" s="1">
        <v>45699</v>
      </c>
      <c r="C58" t="s">
        <v>124</v>
      </c>
      <c r="D58" t="s">
        <v>37</v>
      </c>
      <c r="E58" t="s">
        <v>24</v>
      </c>
      <c r="F58" t="s">
        <v>32</v>
      </c>
      <c r="G58">
        <v>2</v>
      </c>
      <c r="H58">
        <v>59.86</v>
      </c>
      <c r="I58">
        <v>119.72</v>
      </c>
      <c r="J58">
        <v>31.14</v>
      </c>
    </row>
    <row r="59" spans="1:10" x14ac:dyDescent="0.35">
      <c r="A59" t="s">
        <v>128</v>
      </c>
      <c r="B59" s="1">
        <v>45699</v>
      </c>
      <c r="C59" t="s">
        <v>129</v>
      </c>
      <c r="D59" t="s">
        <v>63</v>
      </c>
      <c r="E59" t="s">
        <v>64</v>
      </c>
      <c r="F59" t="s">
        <v>20</v>
      </c>
      <c r="G59">
        <v>8</v>
      </c>
      <c r="H59">
        <v>209.01</v>
      </c>
      <c r="I59">
        <v>1672.08</v>
      </c>
      <c r="J59">
        <v>310.67</v>
      </c>
    </row>
    <row r="60" spans="1:10" x14ac:dyDescent="0.35">
      <c r="A60" t="s">
        <v>130</v>
      </c>
      <c r="B60" s="1">
        <v>45700</v>
      </c>
      <c r="C60" t="s">
        <v>72</v>
      </c>
      <c r="D60" t="s">
        <v>17</v>
      </c>
      <c r="E60" t="s">
        <v>13</v>
      </c>
      <c r="F60" t="s">
        <v>32</v>
      </c>
      <c r="G60">
        <v>9</v>
      </c>
      <c r="H60">
        <v>609.07000000000005</v>
      </c>
      <c r="I60">
        <v>5481.63</v>
      </c>
      <c r="J60">
        <v>825.33</v>
      </c>
    </row>
    <row r="61" spans="1:10" x14ac:dyDescent="0.35">
      <c r="A61" t="s">
        <v>131</v>
      </c>
      <c r="B61" s="1">
        <v>45700</v>
      </c>
      <c r="C61" t="s">
        <v>42</v>
      </c>
      <c r="D61" t="s">
        <v>87</v>
      </c>
      <c r="E61" t="s">
        <v>24</v>
      </c>
      <c r="F61" t="s">
        <v>14</v>
      </c>
      <c r="G61">
        <v>7</v>
      </c>
      <c r="H61">
        <v>94.02</v>
      </c>
      <c r="I61">
        <v>658.14</v>
      </c>
      <c r="J61">
        <v>137.80000000000001</v>
      </c>
    </row>
    <row r="62" spans="1:10" x14ac:dyDescent="0.35">
      <c r="A62" t="s">
        <v>132</v>
      </c>
      <c r="B62" s="1">
        <v>45701</v>
      </c>
      <c r="C62" t="s">
        <v>120</v>
      </c>
      <c r="D62" t="s">
        <v>40</v>
      </c>
      <c r="E62" t="s">
        <v>24</v>
      </c>
      <c r="F62" t="s">
        <v>18</v>
      </c>
      <c r="G62">
        <v>10</v>
      </c>
      <c r="H62">
        <v>132.51</v>
      </c>
      <c r="I62">
        <v>1325.1</v>
      </c>
      <c r="J62">
        <v>337.92</v>
      </c>
    </row>
    <row r="63" spans="1:10" x14ac:dyDescent="0.35">
      <c r="A63" t="s">
        <v>133</v>
      </c>
      <c r="B63" s="1">
        <v>45704</v>
      </c>
      <c r="C63" t="s">
        <v>134</v>
      </c>
      <c r="D63" t="s">
        <v>17</v>
      </c>
      <c r="E63" t="s">
        <v>13</v>
      </c>
      <c r="F63" t="s">
        <v>32</v>
      </c>
      <c r="G63">
        <v>3</v>
      </c>
      <c r="H63">
        <v>690.81</v>
      </c>
      <c r="I63">
        <v>2072.4299999999998</v>
      </c>
      <c r="J63">
        <v>192.45</v>
      </c>
    </row>
    <row r="64" spans="1:10" x14ac:dyDescent="0.35">
      <c r="A64" t="s">
        <v>135</v>
      </c>
      <c r="B64" s="1">
        <v>45704</v>
      </c>
      <c r="C64" t="s">
        <v>136</v>
      </c>
      <c r="D64" t="s">
        <v>63</v>
      </c>
      <c r="E64" t="s">
        <v>64</v>
      </c>
      <c r="F64" t="s">
        <v>14</v>
      </c>
      <c r="G64">
        <v>2</v>
      </c>
      <c r="H64">
        <v>310.27999999999997</v>
      </c>
      <c r="I64">
        <v>620.55999999999995</v>
      </c>
      <c r="J64">
        <v>87.13</v>
      </c>
    </row>
    <row r="65" spans="1:10" x14ac:dyDescent="0.35">
      <c r="A65" t="s">
        <v>137</v>
      </c>
      <c r="B65" s="1">
        <v>45705</v>
      </c>
      <c r="C65" t="s">
        <v>138</v>
      </c>
      <c r="D65" t="s">
        <v>23</v>
      </c>
      <c r="E65" t="s">
        <v>24</v>
      </c>
      <c r="F65" t="s">
        <v>18</v>
      </c>
      <c r="G65">
        <v>1</v>
      </c>
      <c r="H65">
        <v>93.84</v>
      </c>
      <c r="I65">
        <v>93.84</v>
      </c>
      <c r="J65">
        <v>22.87</v>
      </c>
    </row>
    <row r="66" spans="1:10" x14ac:dyDescent="0.35">
      <c r="A66" t="s">
        <v>139</v>
      </c>
      <c r="B66" s="1">
        <v>45706</v>
      </c>
      <c r="C66" t="s">
        <v>140</v>
      </c>
      <c r="D66" t="s">
        <v>37</v>
      </c>
      <c r="E66" t="s">
        <v>24</v>
      </c>
      <c r="F66" t="s">
        <v>20</v>
      </c>
      <c r="G66">
        <v>8</v>
      </c>
      <c r="H66">
        <v>35.28</v>
      </c>
      <c r="I66">
        <v>282.24</v>
      </c>
      <c r="J66">
        <v>41.96</v>
      </c>
    </row>
    <row r="67" spans="1:10" x14ac:dyDescent="0.35">
      <c r="A67" t="s">
        <v>141</v>
      </c>
      <c r="B67" s="1">
        <v>45706</v>
      </c>
      <c r="C67" t="s">
        <v>11</v>
      </c>
      <c r="D67" t="s">
        <v>17</v>
      </c>
      <c r="E67" t="s">
        <v>13</v>
      </c>
      <c r="F67" t="s">
        <v>20</v>
      </c>
      <c r="G67">
        <v>3</v>
      </c>
      <c r="H67">
        <v>542.41999999999996</v>
      </c>
      <c r="I67">
        <v>1627.26</v>
      </c>
      <c r="J67">
        <v>133.43</v>
      </c>
    </row>
    <row r="68" spans="1:10" x14ac:dyDescent="0.35">
      <c r="A68" t="s">
        <v>142</v>
      </c>
      <c r="B68" s="1">
        <v>45706</v>
      </c>
      <c r="C68" t="s">
        <v>143</v>
      </c>
      <c r="D68" t="s">
        <v>63</v>
      </c>
      <c r="E68" t="s">
        <v>64</v>
      </c>
      <c r="F68" t="s">
        <v>14</v>
      </c>
      <c r="G68">
        <v>1</v>
      </c>
      <c r="H68">
        <v>318.02999999999997</v>
      </c>
      <c r="I68">
        <v>318.02999999999997</v>
      </c>
      <c r="J68">
        <v>73.03</v>
      </c>
    </row>
    <row r="69" spans="1:10" x14ac:dyDescent="0.35">
      <c r="A69" t="s">
        <v>144</v>
      </c>
      <c r="B69" s="1">
        <v>45707</v>
      </c>
      <c r="C69" t="s">
        <v>145</v>
      </c>
      <c r="D69" t="s">
        <v>37</v>
      </c>
      <c r="E69" t="s">
        <v>24</v>
      </c>
      <c r="F69" t="s">
        <v>18</v>
      </c>
      <c r="G69">
        <v>4</v>
      </c>
      <c r="H69">
        <v>38.659999999999997</v>
      </c>
      <c r="I69">
        <v>154.63999999999999</v>
      </c>
      <c r="J69">
        <v>41.79</v>
      </c>
    </row>
    <row r="70" spans="1:10" x14ac:dyDescent="0.35">
      <c r="A70" t="s">
        <v>146</v>
      </c>
      <c r="B70" s="1">
        <v>45707</v>
      </c>
      <c r="C70" t="s">
        <v>70</v>
      </c>
      <c r="D70" t="s">
        <v>63</v>
      </c>
      <c r="E70" t="s">
        <v>64</v>
      </c>
      <c r="F70" t="s">
        <v>32</v>
      </c>
      <c r="G70">
        <v>6</v>
      </c>
      <c r="H70">
        <v>116.43</v>
      </c>
      <c r="I70">
        <v>698.58</v>
      </c>
      <c r="J70">
        <v>107.71</v>
      </c>
    </row>
    <row r="71" spans="1:10" x14ac:dyDescent="0.35">
      <c r="A71" t="s">
        <v>147</v>
      </c>
      <c r="B71" s="1">
        <v>45708</v>
      </c>
      <c r="C71" t="s">
        <v>98</v>
      </c>
      <c r="D71" t="s">
        <v>23</v>
      </c>
      <c r="E71" t="s">
        <v>24</v>
      </c>
      <c r="F71" t="s">
        <v>20</v>
      </c>
      <c r="G71">
        <v>9</v>
      </c>
      <c r="H71">
        <v>62</v>
      </c>
      <c r="I71">
        <v>558</v>
      </c>
      <c r="J71">
        <v>98.95</v>
      </c>
    </row>
    <row r="72" spans="1:10" x14ac:dyDescent="0.35">
      <c r="A72" t="s">
        <v>148</v>
      </c>
      <c r="B72" s="1">
        <v>45708</v>
      </c>
      <c r="C72" t="s">
        <v>82</v>
      </c>
      <c r="D72" t="s">
        <v>17</v>
      </c>
      <c r="E72" t="s">
        <v>13</v>
      </c>
      <c r="F72" t="s">
        <v>18</v>
      </c>
      <c r="G72">
        <v>9</v>
      </c>
      <c r="H72">
        <v>438.45</v>
      </c>
      <c r="I72">
        <v>3946.05</v>
      </c>
      <c r="J72">
        <v>520.38</v>
      </c>
    </row>
    <row r="73" spans="1:10" x14ac:dyDescent="0.35">
      <c r="A73" t="s">
        <v>149</v>
      </c>
      <c r="B73" s="1">
        <v>45709</v>
      </c>
      <c r="C73" t="s">
        <v>79</v>
      </c>
      <c r="D73" t="s">
        <v>63</v>
      </c>
      <c r="E73" t="s">
        <v>64</v>
      </c>
      <c r="F73" t="s">
        <v>18</v>
      </c>
      <c r="G73">
        <v>2</v>
      </c>
      <c r="H73">
        <v>394.15</v>
      </c>
      <c r="I73">
        <v>788.3</v>
      </c>
      <c r="J73">
        <v>171.51</v>
      </c>
    </row>
    <row r="74" spans="1:10" x14ac:dyDescent="0.35">
      <c r="A74" t="s">
        <v>150</v>
      </c>
      <c r="B74" s="1">
        <v>45711</v>
      </c>
      <c r="C74" t="s">
        <v>86</v>
      </c>
      <c r="D74" t="s">
        <v>12</v>
      </c>
      <c r="E74" t="s">
        <v>13</v>
      </c>
      <c r="F74" t="s">
        <v>20</v>
      </c>
      <c r="G74">
        <v>5</v>
      </c>
      <c r="H74">
        <v>1121.5</v>
      </c>
      <c r="I74">
        <v>5607.5</v>
      </c>
      <c r="J74">
        <v>1117.69</v>
      </c>
    </row>
    <row r="75" spans="1:10" x14ac:dyDescent="0.35">
      <c r="A75" t="s">
        <v>151</v>
      </c>
      <c r="B75" s="1">
        <v>45712</v>
      </c>
      <c r="C75" t="s">
        <v>152</v>
      </c>
      <c r="D75" t="s">
        <v>23</v>
      </c>
      <c r="E75" t="s">
        <v>24</v>
      </c>
      <c r="F75" t="s">
        <v>32</v>
      </c>
      <c r="G75">
        <v>6</v>
      </c>
      <c r="H75">
        <v>63.07</v>
      </c>
      <c r="I75">
        <v>378.42</v>
      </c>
      <c r="J75">
        <v>54.86</v>
      </c>
    </row>
    <row r="76" spans="1:10" x14ac:dyDescent="0.35">
      <c r="A76" t="s">
        <v>153</v>
      </c>
      <c r="B76" s="1">
        <v>45713</v>
      </c>
      <c r="C76" t="s">
        <v>86</v>
      </c>
      <c r="D76" t="s">
        <v>27</v>
      </c>
      <c r="E76" t="s">
        <v>13</v>
      </c>
      <c r="F76" t="s">
        <v>18</v>
      </c>
      <c r="G76">
        <v>5</v>
      </c>
      <c r="H76">
        <v>303.56</v>
      </c>
      <c r="I76">
        <v>1517.8</v>
      </c>
      <c r="J76">
        <v>272.92</v>
      </c>
    </row>
    <row r="77" spans="1:10" x14ac:dyDescent="0.35">
      <c r="A77" t="s">
        <v>154</v>
      </c>
      <c r="B77" s="1">
        <v>45714</v>
      </c>
      <c r="C77" t="s">
        <v>129</v>
      </c>
      <c r="D77" t="s">
        <v>40</v>
      </c>
      <c r="E77" t="s">
        <v>24</v>
      </c>
      <c r="F77" t="s">
        <v>18</v>
      </c>
      <c r="G77">
        <v>3</v>
      </c>
      <c r="H77">
        <v>94.62</v>
      </c>
      <c r="I77">
        <v>283.86</v>
      </c>
      <c r="J77">
        <v>80.760000000000005</v>
      </c>
    </row>
    <row r="78" spans="1:10" x14ac:dyDescent="0.35">
      <c r="A78" t="s">
        <v>155</v>
      </c>
      <c r="B78" s="1">
        <v>45714</v>
      </c>
      <c r="C78" t="s">
        <v>156</v>
      </c>
      <c r="D78" t="s">
        <v>37</v>
      </c>
      <c r="E78" t="s">
        <v>24</v>
      </c>
      <c r="F78" t="s">
        <v>20</v>
      </c>
      <c r="G78">
        <v>9</v>
      </c>
      <c r="H78">
        <v>15.47</v>
      </c>
      <c r="I78">
        <v>139.22999999999999</v>
      </c>
      <c r="J78">
        <v>25.68</v>
      </c>
    </row>
    <row r="79" spans="1:10" x14ac:dyDescent="0.35">
      <c r="A79" t="s">
        <v>157</v>
      </c>
      <c r="B79" s="1">
        <v>45717</v>
      </c>
      <c r="C79" t="s">
        <v>58</v>
      </c>
      <c r="D79" t="s">
        <v>40</v>
      </c>
      <c r="E79" t="s">
        <v>24</v>
      </c>
      <c r="F79" t="s">
        <v>14</v>
      </c>
      <c r="G79">
        <v>10</v>
      </c>
      <c r="H79">
        <v>116.05</v>
      </c>
      <c r="I79">
        <v>1160.5</v>
      </c>
      <c r="J79">
        <v>143.99</v>
      </c>
    </row>
    <row r="80" spans="1:10" x14ac:dyDescent="0.35">
      <c r="A80" t="s">
        <v>158</v>
      </c>
      <c r="B80" s="1">
        <v>45717</v>
      </c>
      <c r="C80" t="s">
        <v>159</v>
      </c>
      <c r="D80" t="s">
        <v>12</v>
      </c>
      <c r="E80" t="s">
        <v>13</v>
      </c>
      <c r="F80" t="s">
        <v>14</v>
      </c>
      <c r="G80">
        <v>3</v>
      </c>
      <c r="H80">
        <v>1277.17</v>
      </c>
      <c r="I80">
        <v>3831.51</v>
      </c>
      <c r="J80">
        <v>702.85</v>
      </c>
    </row>
    <row r="81" spans="1:10" x14ac:dyDescent="0.35">
      <c r="A81" t="s">
        <v>160</v>
      </c>
      <c r="B81" s="1">
        <v>45717</v>
      </c>
      <c r="C81" t="s">
        <v>124</v>
      </c>
      <c r="D81" t="s">
        <v>23</v>
      </c>
      <c r="E81" t="s">
        <v>24</v>
      </c>
      <c r="F81" t="s">
        <v>20</v>
      </c>
      <c r="G81">
        <v>4</v>
      </c>
      <c r="H81">
        <v>99.23</v>
      </c>
      <c r="I81">
        <v>396.92</v>
      </c>
      <c r="J81">
        <v>77.73</v>
      </c>
    </row>
    <row r="82" spans="1:10" x14ac:dyDescent="0.35">
      <c r="A82" t="s">
        <v>161</v>
      </c>
      <c r="B82" s="1">
        <v>45718</v>
      </c>
      <c r="C82" t="s">
        <v>162</v>
      </c>
      <c r="D82" t="s">
        <v>23</v>
      </c>
      <c r="E82" t="s">
        <v>24</v>
      </c>
      <c r="F82" t="s">
        <v>20</v>
      </c>
      <c r="G82">
        <v>6</v>
      </c>
      <c r="H82">
        <v>86.45</v>
      </c>
      <c r="I82">
        <v>518.70000000000005</v>
      </c>
      <c r="J82">
        <v>134.91999999999999</v>
      </c>
    </row>
    <row r="83" spans="1:10" x14ac:dyDescent="0.35">
      <c r="A83" t="s">
        <v>163</v>
      </c>
      <c r="B83" s="1">
        <v>45719</v>
      </c>
      <c r="C83" t="s">
        <v>164</v>
      </c>
      <c r="D83" t="s">
        <v>87</v>
      </c>
      <c r="E83" t="s">
        <v>24</v>
      </c>
      <c r="F83" t="s">
        <v>18</v>
      </c>
      <c r="G83">
        <v>7</v>
      </c>
      <c r="H83">
        <v>119.77</v>
      </c>
      <c r="I83">
        <v>838.39</v>
      </c>
      <c r="J83">
        <v>156.04</v>
      </c>
    </row>
    <row r="84" spans="1:10" x14ac:dyDescent="0.35">
      <c r="A84" t="s">
        <v>165</v>
      </c>
      <c r="B84" s="1">
        <v>45719</v>
      </c>
      <c r="C84" t="s">
        <v>134</v>
      </c>
      <c r="D84" t="s">
        <v>63</v>
      </c>
      <c r="E84" t="s">
        <v>64</v>
      </c>
      <c r="F84" t="s">
        <v>32</v>
      </c>
      <c r="G84">
        <v>4</v>
      </c>
      <c r="H84">
        <v>287.77</v>
      </c>
      <c r="I84">
        <v>1151.08</v>
      </c>
      <c r="J84">
        <v>258.45999999999998</v>
      </c>
    </row>
    <row r="85" spans="1:10" x14ac:dyDescent="0.35">
      <c r="A85" t="s">
        <v>166</v>
      </c>
      <c r="B85" s="1">
        <v>45720</v>
      </c>
      <c r="C85" t="s">
        <v>167</v>
      </c>
      <c r="D85" t="s">
        <v>17</v>
      </c>
      <c r="E85" t="s">
        <v>13</v>
      </c>
      <c r="F85" t="s">
        <v>18</v>
      </c>
      <c r="G85">
        <v>5</v>
      </c>
      <c r="H85">
        <v>436.87</v>
      </c>
      <c r="I85">
        <v>2184.35</v>
      </c>
      <c r="J85">
        <v>364.83</v>
      </c>
    </row>
    <row r="86" spans="1:10" x14ac:dyDescent="0.35">
      <c r="A86" t="s">
        <v>168</v>
      </c>
      <c r="B86" s="1">
        <v>45722</v>
      </c>
      <c r="C86" t="s">
        <v>79</v>
      </c>
      <c r="D86" t="s">
        <v>12</v>
      </c>
      <c r="E86" t="s">
        <v>13</v>
      </c>
      <c r="F86" t="s">
        <v>20</v>
      </c>
      <c r="G86">
        <v>1</v>
      </c>
      <c r="H86">
        <v>881.24</v>
      </c>
      <c r="I86">
        <v>881.24</v>
      </c>
      <c r="J86">
        <v>86.5</v>
      </c>
    </row>
    <row r="87" spans="1:10" x14ac:dyDescent="0.35">
      <c r="A87" t="s">
        <v>169</v>
      </c>
      <c r="B87" s="1">
        <v>45723</v>
      </c>
      <c r="C87" t="s">
        <v>170</v>
      </c>
      <c r="D87" t="s">
        <v>63</v>
      </c>
      <c r="E87" t="s">
        <v>64</v>
      </c>
      <c r="F87" t="s">
        <v>14</v>
      </c>
      <c r="G87">
        <v>10</v>
      </c>
      <c r="H87">
        <v>297.56</v>
      </c>
      <c r="I87">
        <v>2975.6</v>
      </c>
      <c r="J87">
        <v>695.63</v>
      </c>
    </row>
    <row r="88" spans="1:10" x14ac:dyDescent="0.35">
      <c r="A88" t="s">
        <v>171</v>
      </c>
      <c r="B88" s="1">
        <v>45723</v>
      </c>
      <c r="C88" t="s">
        <v>129</v>
      </c>
      <c r="D88" t="s">
        <v>63</v>
      </c>
      <c r="E88" t="s">
        <v>64</v>
      </c>
      <c r="F88" t="s">
        <v>18</v>
      </c>
      <c r="G88">
        <v>9</v>
      </c>
      <c r="H88">
        <v>438.69</v>
      </c>
      <c r="I88">
        <v>3948.21</v>
      </c>
      <c r="J88">
        <v>701.88</v>
      </c>
    </row>
    <row r="89" spans="1:10" x14ac:dyDescent="0.35">
      <c r="A89" t="s">
        <v>172</v>
      </c>
      <c r="B89" s="1">
        <v>45723</v>
      </c>
      <c r="C89" t="s">
        <v>152</v>
      </c>
      <c r="D89" t="s">
        <v>17</v>
      </c>
      <c r="E89" t="s">
        <v>13</v>
      </c>
      <c r="F89" t="s">
        <v>32</v>
      </c>
      <c r="G89">
        <v>7</v>
      </c>
      <c r="H89">
        <v>683.36</v>
      </c>
      <c r="I89">
        <v>4783.5200000000004</v>
      </c>
      <c r="J89">
        <v>1194.05</v>
      </c>
    </row>
    <row r="90" spans="1:10" x14ac:dyDescent="0.35">
      <c r="A90" t="s">
        <v>173</v>
      </c>
      <c r="B90" s="1">
        <v>45724</v>
      </c>
      <c r="C90" t="s">
        <v>174</v>
      </c>
      <c r="D90" t="s">
        <v>12</v>
      </c>
      <c r="E90" t="s">
        <v>13</v>
      </c>
      <c r="F90" t="s">
        <v>18</v>
      </c>
      <c r="G90">
        <v>1</v>
      </c>
      <c r="H90">
        <v>1238.78</v>
      </c>
      <c r="I90">
        <v>1238.78</v>
      </c>
      <c r="J90">
        <v>304.51</v>
      </c>
    </row>
    <row r="91" spans="1:10" x14ac:dyDescent="0.35">
      <c r="A91" t="s">
        <v>175</v>
      </c>
      <c r="B91" s="1">
        <v>45725</v>
      </c>
      <c r="C91" t="s">
        <v>62</v>
      </c>
      <c r="D91" t="s">
        <v>37</v>
      </c>
      <c r="E91" t="s">
        <v>24</v>
      </c>
      <c r="F91" t="s">
        <v>32</v>
      </c>
      <c r="G91">
        <v>8</v>
      </c>
      <c r="H91">
        <v>15.33</v>
      </c>
      <c r="I91">
        <v>122.64</v>
      </c>
      <c r="J91">
        <v>17.86</v>
      </c>
    </row>
    <row r="92" spans="1:10" x14ac:dyDescent="0.35">
      <c r="A92" t="s">
        <v>176</v>
      </c>
      <c r="B92" s="1">
        <v>45726</v>
      </c>
      <c r="C92" t="s">
        <v>143</v>
      </c>
      <c r="D92" t="s">
        <v>87</v>
      </c>
      <c r="E92" t="s">
        <v>24</v>
      </c>
      <c r="F92" t="s">
        <v>32</v>
      </c>
      <c r="G92">
        <v>6</v>
      </c>
      <c r="H92">
        <v>113.6</v>
      </c>
      <c r="I92">
        <v>681.6</v>
      </c>
      <c r="J92">
        <v>181.42</v>
      </c>
    </row>
    <row r="93" spans="1:10" x14ac:dyDescent="0.35">
      <c r="A93" t="s">
        <v>177</v>
      </c>
      <c r="B93" s="1">
        <v>45726</v>
      </c>
      <c r="C93" t="s">
        <v>178</v>
      </c>
      <c r="D93" t="s">
        <v>40</v>
      </c>
      <c r="E93" t="s">
        <v>24</v>
      </c>
      <c r="F93" t="s">
        <v>18</v>
      </c>
      <c r="G93">
        <v>1</v>
      </c>
      <c r="H93">
        <v>159.56</v>
      </c>
      <c r="I93">
        <v>159.56</v>
      </c>
      <c r="J93">
        <v>35.24</v>
      </c>
    </row>
    <row r="94" spans="1:10" x14ac:dyDescent="0.35">
      <c r="A94" t="s">
        <v>179</v>
      </c>
      <c r="B94" s="1">
        <v>45727</v>
      </c>
      <c r="C94" t="s">
        <v>108</v>
      </c>
      <c r="D94" t="s">
        <v>87</v>
      </c>
      <c r="E94" t="s">
        <v>24</v>
      </c>
      <c r="F94" t="s">
        <v>14</v>
      </c>
      <c r="G94">
        <v>8</v>
      </c>
      <c r="H94">
        <v>98.61</v>
      </c>
      <c r="I94">
        <v>788.88</v>
      </c>
      <c r="J94">
        <v>128.80000000000001</v>
      </c>
    </row>
    <row r="95" spans="1:10" x14ac:dyDescent="0.35">
      <c r="A95" t="s">
        <v>180</v>
      </c>
      <c r="B95" s="1">
        <v>45727</v>
      </c>
      <c r="C95" t="s">
        <v>48</v>
      </c>
      <c r="D95" t="s">
        <v>12</v>
      </c>
      <c r="E95" t="s">
        <v>13</v>
      </c>
      <c r="F95" t="s">
        <v>18</v>
      </c>
      <c r="G95">
        <v>10</v>
      </c>
      <c r="H95">
        <v>1382.52</v>
      </c>
      <c r="I95">
        <v>13825.2</v>
      </c>
      <c r="J95">
        <v>2555.91</v>
      </c>
    </row>
    <row r="96" spans="1:10" x14ac:dyDescent="0.35">
      <c r="A96" t="s">
        <v>181</v>
      </c>
      <c r="B96" s="1">
        <v>45728</v>
      </c>
      <c r="C96" t="s">
        <v>77</v>
      </c>
      <c r="D96" t="s">
        <v>17</v>
      </c>
      <c r="E96" t="s">
        <v>13</v>
      </c>
      <c r="F96" t="s">
        <v>14</v>
      </c>
      <c r="G96">
        <v>5</v>
      </c>
      <c r="H96">
        <v>369.64</v>
      </c>
      <c r="I96">
        <v>1848.2</v>
      </c>
      <c r="J96">
        <v>439.65</v>
      </c>
    </row>
    <row r="97" spans="1:10" x14ac:dyDescent="0.35">
      <c r="A97" t="s">
        <v>182</v>
      </c>
      <c r="B97" s="1">
        <v>45729</v>
      </c>
      <c r="C97" t="s">
        <v>122</v>
      </c>
      <c r="D97" t="s">
        <v>12</v>
      </c>
      <c r="E97" t="s">
        <v>13</v>
      </c>
      <c r="F97" t="s">
        <v>32</v>
      </c>
      <c r="G97">
        <v>7</v>
      </c>
      <c r="H97">
        <v>1261.77</v>
      </c>
      <c r="I97">
        <v>8832.39</v>
      </c>
      <c r="J97">
        <v>2412.44</v>
      </c>
    </row>
    <row r="98" spans="1:10" x14ac:dyDescent="0.35">
      <c r="A98" t="s">
        <v>183</v>
      </c>
      <c r="B98" s="1">
        <v>45730</v>
      </c>
      <c r="C98" t="s">
        <v>184</v>
      </c>
      <c r="D98" t="s">
        <v>63</v>
      </c>
      <c r="E98" t="s">
        <v>64</v>
      </c>
      <c r="F98" t="s">
        <v>14</v>
      </c>
      <c r="G98">
        <v>2</v>
      </c>
      <c r="H98">
        <v>393.5</v>
      </c>
      <c r="I98">
        <v>787</v>
      </c>
      <c r="J98">
        <v>226.98</v>
      </c>
    </row>
    <row r="99" spans="1:10" x14ac:dyDescent="0.35">
      <c r="A99" t="s">
        <v>185</v>
      </c>
      <c r="B99" s="1">
        <v>45731</v>
      </c>
      <c r="C99" t="s">
        <v>186</v>
      </c>
      <c r="D99" t="s">
        <v>17</v>
      </c>
      <c r="E99" t="s">
        <v>13</v>
      </c>
      <c r="F99" t="s">
        <v>14</v>
      </c>
      <c r="G99">
        <v>8</v>
      </c>
      <c r="H99">
        <v>568.89</v>
      </c>
      <c r="I99">
        <v>4551.12</v>
      </c>
      <c r="J99">
        <v>595.21</v>
      </c>
    </row>
    <row r="100" spans="1:10" x14ac:dyDescent="0.35">
      <c r="A100" t="s">
        <v>187</v>
      </c>
      <c r="B100" s="1">
        <v>45732</v>
      </c>
      <c r="C100" t="s">
        <v>188</v>
      </c>
      <c r="D100" t="s">
        <v>17</v>
      </c>
      <c r="E100" t="s">
        <v>13</v>
      </c>
      <c r="F100" t="s">
        <v>14</v>
      </c>
      <c r="G100">
        <v>3</v>
      </c>
      <c r="H100">
        <v>566.54</v>
      </c>
      <c r="I100">
        <v>1699.62</v>
      </c>
      <c r="J100">
        <v>301.51</v>
      </c>
    </row>
    <row r="101" spans="1:10" x14ac:dyDescent="0.35">
      <c r="A101" t="s">
        <v>189</v>
      </c>
      <c r="B101" s="1">
        <v>45732</v>
      </c>
      <c r="C101" t="s">
        <v>84</v>
      </c>
      <c r="D101" t="s">
        <v>12</v>
      </c>
      <c r="E101" t="s">
        <v>13</v>
      </c>
      <c r="F101" t="s">
        <v>20</v>
      </c>
      <c r="G101">
        <v>5</v>
      </c>
      <c r="H101">
        <v>1183.1300000000001</v>
      </c>
      <c r="I101">
        <v>5915.65</v>
      </c>
      <c r="J101">
        <v>667.16</v>
      </c>
    </row>
    <row r="102" spans="1:10" x14ac:dyDescent="0.35">
      <c r="A102" t="s">
        <v>190</v>
      </c>
      <c r="B102" s="1">
        <v>45733</v>
      </c>
      <c r="C102" t="s">
        <v>31</v>
      </c>
      <c r="D102" t="s">
        <v>37</v>
      </c>
      <c r="E102" t="s">
        <v>24</v>
      </c>
      <c r="F102" t="s">
        <v>20</v>
      </c>
      <c r="G102">
        <v>10</v>
      </c>
      <c r="H102">
        <v>10.47</v>
      </c>
      <c r="I102">
        <v>104.7</v>
      </c>
      <c r="J102">
        <v>26.66</v>
      </c>
    </row>
    <row r="103" spans="1:10" x14ac:dyDescent="0.35">
      <c r="A103" t="s">
        <v>191</v>
      </c>
      <c r="B103" s="1">
        <v>45735</v>
      </c>
      <c r="C103" t="s">
        <v>98</v>
      </c>
      <c r="D103" t="s">
        <v>23</v>
      </c>
      <c r="E103" t="s">
        <v>24</v>
      </c>
      <c r="F103" t="s">
        <v>32</v>
      </c>
      <c r="G103">
        <v>10</v>
      </c>
      <c r="H103">
        <v>92.3</v>
      </c>
      <c r="I103">
        <v>923</v>
      </c>
      <c r="J103">
        <v>195.08</v>
      </c>
    </row>
    <row r="104" spans="1:10" x14ac:dyDescent="0.35">
      <c r="A104" t="s">
        <v>192</v>
      </c>
      <c r="B104" s="1">
        <v>45735</v>
      </c>
      <c r="C104" t="s">
        <v>104</v>
      </c>
      <c r="D104" t="s">
        <v>23</v>
      </c>
      <c r="E104" t="s">
        <v>24</v>
      </c>
      <c r="F104" t="s">
        <v>14</v>
      </c>
      <c r="G104">
        <v>2</v>
      </c>
      <c r="H104">
        <v>65.56</v>
      </c>
      <c r="I104">
        <v>131.12</v>
      </c>
      <c r="J104">
        <v>10.75</v>
      </c>
    </row>
    <row r="105" spans="1:10" x14ac:dyDescent="0.35">
      <c r="A105" t="s">
        <v>193</v>
      </c>
      <c r="B105" s="1">
        <v>45736</v>
      </c>
      <c r="C105" t="s">
        <v>194</v>
      </c>
      <c r="D105" t="s">
        <v>12</v>
      </c>
      <c r="E105" t="s">
        <v>13</v>
      </c>
      <c r="F105" t="s">
        <v>32</v>
      </c>
      <c r="G105">
        <v>8</v>
      </c>
      <c r="H105">
        <v>1244.1199999999999</v>
      </c>
      <c r="I105">
        <v>9952.9599999999991</v>
      </c>
      <c r="J105">
        <v>2857.22</v>
      </c>
    </row>
    <row r="106" spans="1:10" x14ac:dyDescent="0.35">
      <c r="A106" t="s">
        <v>195</v>
      </c>
      <c r="B106" s="1">
        <v>45736</v>
      </c>
      <c r="C106" t="s">
        <v>196</v>
      </c>
      <c r="D106" t="s">
        <v>63</v>
      </c>
      <c r="E106" t="s">
        <v>64</v>
      </c>
      <c r="F106" t="s">
        <v>18</v>
      </c>
      <c r="G106">
        <v>1</v>
      </c>
      <c r="H106">
        <v>174.44</v>
      </c>
      <c r="I106">
        <v>174.44</v>
      </c>
      <c r="J106">
        <v>46.21</v>
      </c>
    </row>
    <row r="107" spans="1:10" x14ac:dyDescent="0.35">
      <c r="A107" t="s">
        <v>197</v>
      </c>
      <c r="B107" s="1">
        <v>45736</v>
      </c>
      <c r="C107" t="s">
        <v>198</v>
      </c>
      <c r="D107" t="s">
        <v>12</v>
      </c>
      <c r="E107" t="s">
        <v>13</v>
      </c>
      <c r="F107" t="s">
        <v>18</v>
      </c>
      <c r="G107">
        <v>7</v>
      </c>
      <c r="H107">
        <v>1214.8599999999999</v>
      </c>
      <c r="I107">
        <v>8504.02</v>
      </c>
      <c r="J107">
        <v>2225.52</v>
      </c>
    </row>
    <row r="108" spans="1:10" x14ac:dyDescent="0.35">
      <c r="A108" t="s">
        <v>199</v>
      </c>
      <c r="B108" s="1">
        <v>45737</v>
      </c>
      <c r="C108" t="s">
        <v>200</v>
      </c>
      <c r="D108" t="s">
        <v>27</v>
      </c>
      <c r="E108" t="s">
        <v>13</v>
      </c>
      <c r="F108" t="s">
        <v>20</v>
      </c>
      <c r="G108">
        <v>9</v>
      </c>
      <c r="H108">
        <v>301.02999999999997</v>
      </c>
      <c r="I108">
        <v>2709.27</v>
      </c>
      <c r="J108">
        <v>492.17</v>
      </c>
    </row>
    <row r="109" spans="1:10" x14ac:dyDescent="0.35">
      <c r="A109" t="s">
        <v>201</v>
      </c>
      <c r="B109" s="1">
        <v>45739</v>
      </c>
      <c r="C109" t="s">
        <v>202</v>
      </c>
      <c r="D109" t="s">
        <v>12</v>
      </c>
      <c r="E109" t="s">
        <v>13</v>
      </c>
      <c r="F109" t="s">
        <v>14</v>
      </c>
      <c r="G109">
        <v>8</v>
      </c>
      <c r="H109">
        <v>1018.4</v>
      </c>
      <c r="I109">
        <v>8147.2</v>
      </c>
      <c r="J109">
        <v>1159.6400000000001</v>
      </c>
    </row>
    <row r="110" spans="1:10" x14ac:dyDescent="0.35">
      <c r="A110" t="s">
        <v>203</v>
      </c>
      <c r="B110" s="1">
        <v>45739</v>
      </c>
      <c r="C110" t="s">
        <v>117</v>
      </c>
      <c r="D110" t="s">
        <v>37</v>
      </c>
      <c r="E110" t="s">
        <v>24</v>
      </c>
      <c r="F110" t="s">
        <v>18</v>
      </c>
      <c r="G110">
        <v>7</v>
      </c>
      <c r="H110">
        <v>21.8</v>
      </c>
      <c r="I110">
        <v>152.6</v>
      </c>
      <c r="J110">
        <v>28.47</v>
      </c>
    </row>
    <row r="111" spans="1:10" x14ac:dyDescent="0.35">
      <c r="A111" t="s">
        <v>204</v>
      </c>
      <c r="B111" s="1">
        <v>45739</v>
      </c>
      <c r="C111" t="s">
        <v>205</v>
      </c>
      <c r="D111" t="s">
        <v>12</v>
      </c>
      <c r="E111" t="s">
        <v>13</v>
      </c>
      <c r="F111" t="s">
        <v>18</v>
      </c>
      <c r="G111">
        <v>2</v>
      </c>
      <c r="H111">
        <v>1289</v>
      </c>
      <c r="I111">
        <v>2578</v>
      </c>
      <c r="J111">
        <v>255.61</v>
      </c>
    </row>
    <row r="112" spans="1:10" x14ac:dyDescent="0.35">
      <c r="A112" t="s">
        <v>206</v>
      </c>
      <c r="B112" s="1">
        <v>45740</v>
      </c>
      <c r="C112" t="s">
        <v>207</v>
      </c>
      <c r="D112" t="s">
        <v>37</v>
      </c>
      <c r="E112" t="s">
        <v>24</v>
      </c>
      <c r="F112" t="s">
        <v>14</v>
      </c>
      <c r="G112">
        <v>6</v>
      </c>
      <c r="H112">
        <v>38.869999999999997</v>
      </c>
      <c r="I112">
        <v>233.22</v>
      </c>
      <c r="J112">
        <v>45.87</v>
      </c>
    </row>
    <row r="113" spans="1:10" x14ac:dyDescent="0.35">
      <c r="A113" t="s">
        <v>208</v>
      </c>
      <c r="B113" s="1">
        <v>45741</v>
      </c>
      <c r="C113" t="s">
        <v>115</v>
      </c>
      <c r="D113" t="s">
        <v>87</v>
      </c>
      <c r="E113" t="s">
        <v>24</v>
      </c>
      <c r="F113" t="s">
        <v>32</v>
      </c>
      <c r="G113">
        <v>5</v>
      </c>
      <c r="H113">
        <v>178.72</v>
      </c>
      <c r="I113">
        <v>893.6</v>
      </c>
      <c r="J113">
        <v>95.05</v>
      </c>
    </row>
    <row r="114" spans="1:10" x14ac:dyDescent="0.35">
      <c r="A114" t="s">
        <v>209</v>
      </c>
      <c r="B114" s="1">
        <v>45743</v>
      </c>
      <c r="C114" t="s">
        <v>16</v>
      </c>
      <c r="D114" t="s">
        <v>17</v>
      </c>
      <c r="E114" t="s">
        <v>13</v>
      </c>
      <c r="F114" t="s">
        <v>18</v>
      </c>
      <c r="G114">
        <v>5</v>
      </c>
      <c r="H114">
        <v>343.59</v>
      </c>
      <c r="I114">
        <v>1717.95</v>
      </c>
      <c r="J114">
        <v>201.1</v>
      </c>
    </row>
    <row r="115" spans="1:10" x14ac:dyDescent="0.35">
      <c r="A115" t="s">
        <v>210</v>
      </c>
      <c r="B115" s="1">
        <v>45743</v>
      </c>
      <c r="C115" t="s">
        <v>188</v>
      </c>
      <c r="D115" t="s">
        <v>37</v>
      </c>
      <c r="E115" t="s">
        <v>24</v>
      </c>
      <c r="F115" t="s">
        <v>32</v>
      </c>
      <c r="G115">
        <v>5</v>
      </c>
      <c r="H115">
        <v>30.45</v>
      </c>
      <c r="I115">
        <v>152.25</v>
      </c>
      <c r="J115">
        <v>15.62</v>
      </c>
    </row>
    <row r="116" spans="1:10" x14ac:dyDescent="0.35">
      <c r="A116" t="s">
        <v>211</v>
      </c>
      <c r="B116" s="1">
        <v>45743</v>
      </c>
      <c r="C116" t="s">
        <v>143</v>
      </c>
      <c r="D116" t="s">
        <v>27</v>
      </c>
      <c r="E116" t="s">
        <v>13</v>
      </c>
      <c r="F116" t="s">
        <v>32</v>
      </c>
      <c r="G116">
        <v>6</v>
      </c>
      <c r="H116">
        <v>173.51</v>
      </c>
      <c r="I116">
        <v>1041.06</v>
      </c>
      <c r="J116">
        <v>126.42</v>
      </c>
    </row>
    <row r="117" spans="1:10" x14ac:dyDescent="0.35">
      <c r="A117" t="s">
        <v>212</v>
      </c>
      <c r="B117" s="1">
        <v>45744</v>
      </c>
      <c r="C117" t="s">
        <v>77</v>
      </c>
      <c r="D117" t="s">
        <v>23</v>
      </c>
      <c r="E117" t="s">
        <v>24</v>
      </c>
      <c r="F117" t="s">
        <v>18</v>
      </c>
      <c r="G117">
        <v>3</v>
      </c>
      <c r="H117">
        <v>88.85</v>
      </c>
      <c r="I117">
        <v>266.55</v>
      </c>
      <c r="J117">
        <v>58.2</v>
      </c>
    </row>
    <row r="118" spans="1:10" x14ac:dyDescent="0.35">
      <c r="A118" t="s">
        <v>213</v>
      </c>
      <c r="B118" s="1">
        <v>45744</v>
      </c>
      <c r="C118" t="s">
        <v>214</v>
      </c>
      <c r="D118" t="s">
        <v>37</v>
      </c>
      <c r="E118" t="s">
        <v>24</v>
      </c>
      <c r="F118" t="s">
        <v>18</v>
      </c>
      <c r="G118">
        <v>9</v>
      </c>
      <c r="H118">
        <v>29.87</v>
      </c>
      <c r="I118">
        <v>268.83</v>
      </c>
      <c r="J118">
        <v>51.91</v>
      </c>
    </row>
    <row r="119" spans="1:10" x14ac:dyDescent="0.35">
      <c r="A119" t="s">
        <v>215</v>
      </c>
      <c r="B119" s="1">
        <v>45745</v>
      </c>
      <c r="C119" t="s">
        <v>194</v>
      </c>
      <c r="D119" t="s">
        <v>17</v>
      </c>
      <c r="E119" t="s">
        <v>13</v>
      </c>
      <c r="F119" t="s">
        <v>14</v>
      </c>
      <c r="G119">
        <v>8</v>
      </c>
      <c r="H119">
        <v>390.28</v>
      </c>
      <c r="I119">
        <v>3122.24</v>
      </c>
      <c r="J119">
        <v>327.47000000000003</v>
      </c>
    </row>
    <row r="120" spans="1:10" x14ac:dyDescent="0.35">
      <c r="A120" t="s">
        <v>216</v>
      </c>
      <c r="B120" s="1">
        <v>45747</v>
      </c>
      <c r="C120" t="s">
        <v>145</v>
      </c>
      <c r="D120" t="s">
        <v>17</v>
      </c>
      <c r="E120" t="s">
        <v>13</v>
      </c>
      <c r="F120" t="s">
        <v>18</v>
      </c>
      <c r="G120">
        <v>6</v>
      </c>
      <c r="H120">
        <v>383.41</v>
      </c>
      <c r="I120">
        <v>2300.46</v>
      </c>
      <c r="J120">
        <v>367.72</v>
      </c>
    </row>
    <row r="121" spans="1:10" x14ac:dyDescent="0.35">
      <c r="A121" t="s">
        <v>217</v>
      </c>
      <c r="B121" s="1">
        <v>45747</v>
      </c>
      <c r="C121" t="s">
        <v>218</v>
      </c>
      <c r="D121" t="s">
        <v>37</v>
      </c>
      <c r="E121" t="s">
        <v>24</v>
      </c>
      <c r="F121" t="s">
        <v>14</v>
      </c>
      <c r="G121">
        <v>6</v>
      </c>
      <c r="H121">
        <v>58.1</v>
      </c>
      <c r="I121">
        <v>348.6</v>
      </c>
      <c r="J121">
        <v>86.12</v>
      </c>
    </row>
    <row r="122" spans="1:10" x14ac:dyDescent="0.35">
      <c r="A122" t="s">
        <v>219</v>
      </c>
      <c r="B122" s="1">
        <v>45747</v>
      </c>
      <c r="C122" t="s">
        <v>178</v>
      </c>
      <c r="D122" t="s">
        <v>37</v>
      </c>
      <c r="E122" t="s">
        <v>24</v>
      </c>
      <c r="F122" t="s">
        <v>32</v>
      </c>
      <c r="G122">
        <v>2</v>
      </c>
      <c r="H122">
        <v>51.89</v>
      </c>
      <c r="I122">
        <v>103.78</v>
      </c>
      <c r="J122">
        <v>8.66</v>
      </c>
    </row>
    <row r="123" spans="1:10" x14ac:dyDescent="0.35">
      <c r="A123" t="s">
        <v>220</v>
      </c>
      <c r="B123" s="1">
        <v>45749</v>
      </c>
      <c r="C123" t="s">
        <v>112</v>
      </c>
      <c r="D123" t="s">
        <v>87</v>
      </c>
      <c r="E123" t="s">
        <v>24</v>
      </c>
      <c r="F123" t="s">
        <v>20</v>
      </c>
      <c r="G123">
        <v>8</v>
      </c>
      <c r="H123">
        <v>60.75</v>
      </c>
      <c r="I123">
        <v>486</v>
      </c>
      <c r="J123">
        <v>141.87</v>
      </c>
    </row>
    <row r="124" spans="1:10" x14ac:dyDescent="0.35">
      <c r="A124" t="s">
        <v>221</v>
      </c>
      <c r="B124" s="1">
        <v>45749</v>
      </c>
      <c r="C124" t="s">
        <v>143</v>
      </c>
      <c r="D124" t="s">
        <v>12</v>
      </c>
      <c r="E124" t="s">
        <v>13</v>
      </c>
      <c r="F124" t="s">
        <v>18</v>
      </c>
      <c r="G124">
        <v>10</v>
      </c>
      <c r="H124">
        <v>952.06</v>
      </c>
      <c r="I124">
        <v>9520.6</v>
      </c>
      <c r="J124">
        <v>2278.69</v>
      </c>
    </row>
    <row r="125" spans="1:10" x14ac:dyDescent="0.35">
      <c r="A125" t="s">
        <v>222</v>
      </c>
      <c r="B125" s="1">
        <v>45752</v>
      </c>
      <c r="C125" t="s">
        <v>77</v>
      </c>
      <c r="D125" t="s">
        <v>17</v>
      </c>
      <c r="E125" t="s">
        <v>13</v>
      </c>
      <c r="F125" t="s">
        <v>18</v>
      </c>
      <c r="G125">
        <v>6</v>
      </c>
      <c r="H125">
        <v>416.22</v>
      </c>
      <c r="I125">
        <v>2497.3200000000002</v>
      </c>
      <c r="J125">
        <v>651.13</v>
      </c>
    </row>
    <row r="126" spans="1:10" x14ac:dyDescent="0.35">
      <c r="A126" t="s">
        <v>223</v>
      </c>
      <c r="B126" s="1">
        <v>45752</v>
      </c>
      <c r="C126" t="s">
        <v>22</v>
      </c>
      <c r="D126" t="s">
        <v>27</v>
      </c>
      <c r="E126" t="s">
        <v>13</v>
      </c>
      <c r="F126" t="s">
        <v>20</v>
      </c>
      <c r="G126">
        <v>10</v>
      </c>
      <c r="H126">
        <v>443.34</v>
      </c>
      <c r="I126">
        <v>4433.3999999999996</v>
      </c>
      <c r="J126">
        <v>1104.25</v>
      </c>
    </row>
    <row r="127" spans="1:10" x14ac:dyDescent="0.35">
      <c r="A127" t="s">
        <v>224</v>
      </c>
      <c r="B127" s="1">
        <v>45753</v>
      </c>
      <c r="C127" t="s">
        <v>58</v>
      </c>
      <c r="D127" t="s">
        <v>27</v>
      </c>
      <c r="E127" t="s">
        <v>13</v>
      </c>
      <c r="F127" t="s">
        <v>14</v>
      </c>
      <c r="G127">
        <v>1</v>
      </c>
      <c r="H127">
        <v>496.83</v>
      </c>
      <c r="I127">
        <v>496.83</v>
      </c>
      <c r="J127">
        <v>134.63</v>
      </c>
    </row>
    <row r="128" spans="1:10" x14ac:dyDescent="0.35">
      <c r="A128" t="s">
        <v>225</v>
      </c>
      <c r="B128" s="1">
        <v>45754</v>
      </c>
      <c r="C128" t="s">
        <v>115</v>
      </c>
      <c r="D128" t="s">
        <v>63</v>
      </c>
      <c r="E128" t="s">
        <v>64</v>
      </c>
      <c r="F128" t="s">
        <v>14</v>
      </c>
      <c r="G128">
        <v>4</v>
      </c>
      <c r="H128">
        <v>268.29000000000002</v>
      </c>
      <c r="I128">
        <v>1073.1600000000001</v>
      </c>
      <c r="J128">
        <v>188.24</v>
      </c>
    </row>
    <row r="129" spans="1:10" x14ac:dyDescent="0.35">
      <c r="A129" t="s">
        <v>226</v>
      </c>
      <c r="B129" s="1">
        <v>45754</v>
      </c>
      <c r="C129" t="s">
        <v>34</v>
      </c>
      <c r="D129" t="s">
        <v>40</v>
      </c>
      <c r="E129" t="s">
        <v>24</v>
      </c>
      <c r="F129" t="s">
        <v>20</v>
      </c>
      <c r="G129">
        <v>1</v>
      </c>
      <c r="H129">
        <v>127.67</v>
      </c>
      <c r="I129">
        <v>127.67</v>
      </c>
      <c r="J129">
        <v>27.02</v>
      </c>
    </row>
    <row r="130" spans="1:10" x14ac:dyDescent="0.35">
      <c r="A130" t="s">
        <v>227</v>
      </c>
      <c r="B130" s="1">
        <v>45756</v>
      </c>
      <c r="C130" t="s">
        <v>42</v>
      </c>
      <c r="D130" t="s">
        <v>40</v>
      </c>
      <c r="E130" t="s">
        <v>24</v>
      </c>
      <c r="F130" t="s">
        <v>18</v>
      </c>
      <c r="G130">
        <v>7</v>
      </c>
      <c r="H130">
        <v>82.64</v>
      </c>
      <c r="I130">
        <v>578.48</v>
      </c>
      <c r="J130">
        <v>48.55</v>
      </c>
    </row>
    <row r="131" spans="1:10" x14ac:dyDescent="0.35">
      <c r="A131" t="s">
        <v>228</v>
      </c>
      <c r="B131" s="1">
        <v>45757</v>
      </c>
      <c r="C131" t="s">
        <v>11</v>
      </c>
      <c r="D131" t="s">
        <v>37</v>
      </c>
      <c r="E131" t="s">
        <v>24</v>
      </c>
      <c r="F131" t="s">
        <v>20</v>
      </c>
      <c r="G131">
        <v>7</v>
      </c>
      <c r="H131">
        <v>46.76</v>
      </c>
      <c r="I131">
        <v>327.32</v>
      </c>
      <c r="J131">
        <v>80.540000000000006</v>
      </c>
    </row>
    <row r="132" spans="1:10" x14ac:dyDescent="0.35">
      <c r="A132" t="s">
        <v>229</v>
      </c>
      <c r="B132" s="1">
        <v>45758</v>
      </c>
      <c r="C132" t="s">
        <v>230</v>
      </c>
      <c r="D132" t="s">
        <v>63</v>
      </c>
      <c r="E132" t="s">
        <v>64</v>
      </c>
      <c r="F132" t="s">
        <v>32</v>
      </c>
      <c r="G132">
        <v>1</v>
      </c>
      <c r="H132">
        <v>342.61</v>
      </c>
      <c r="I132">
        <v>342.61</v>
      </c>
      <c r="J132">
        <v>83.7</v>
      </c>
    </row>
    <row r="133" spans="1:10" x14ac:dyDescent="0.35">
      <c r="A133" t="s">
        <v>231</v>
      </c>
      <c r="B133" s="1">
        <v>45758</v>
      </c>
      <c r="C133" t="s">
        <v>134</v>
      </c>
      <c r="D133" t="s">
        <v>63</v>
      </c>
      <c r="E133" t="s">
        <v>64</v>
      </c>
      <c r="F133" t="s">
        <v>20</v>
      </c>
      <c r="G133">
        <v>1</v>
      </c>
      <c r="H133">
        <v>287.27</v>
      </c>
      <c r="I133">
        <v>287.27</v>
      </c>
      <c r="J133">
        <v>69.459999999999994</v>
      </c>
    </row>
    <row r="134" spans="1:10" x14ac:dyDescent="0.35">
      <c r="A134" t="s">
        <v>232</v>
      </c>
      <c r="B134" s="1">
        <v>45758</v>
      </c>
      <c r="C134" t="s">
        <v>233</v>
      </c>
      <c r="D134" t="s">
        <v>17</v>
      </c>
      <c r="E134" t="s">
        <v>13</v>
      </c>
      <c r="F134" t="s">
        <v>14</v>
      </c>
      <c r="G134">
        <v>7</v>
      </c>
      <c r="H134">
        <v>478.04</v>
      </c>
      <c r="I134">
        <v>3346.28</v>
      </c>
      <c r="J134">
        <v>747.34</v>
      </c>
    </row>
    <row r="135" spans="1:10" x14ac:dyDescent="0.35">
      <c r="A135" t="s">
        <v>234</v>
      </c>
      <c r="B135" s="1">
        <v>45758</v>
      </c>
      <c r="C135" t="s">
        <v>60</v>
      </c>
      <c r="D135" t="s">
        <v>37</v>
      </c>
      <c r="E135" t="s">
        <v>24</v>
      </c>
      <c r="F135" t="s">
        <v>18</v>
      </c>
      <c r="G135">
        <v>7</v>
      </c>
      <c r="H135">
        <v>12.78</v>
      </c>
      <c r="I135">
        <v>89.46</v>
      </c>
      <c r="J135">
        <v>13.58</v>
      </c>
    </row>
    <row r="136" spans="1:10" x14ac:dyDescent="0.35">
      <c r="A136" t="s">
        <v>235</v>
      </c>
      <c r="B136" s="1">
        <v>45760</v>
      </c>
      <c r="C136" t="s">
        <v>48</v>
      </c>
      <c r="D136" t="s">
        <v>63</v>
      </c>
      <c r="E136" t="s">
        <v>64</v>
      </c>
      <c r="F136" t="s">
        <v>14</v>
      </c>
      <c r="G136">
        <v>10</v>
      </c>
      <c r="H136">
        <v>407.52</v>
      </c>
      <c r="I136">
        <v>4075.2</v>
      </c>
      <c r="J136">
        <v>826.66</v>
      </c>
    </row>
    <row r="137" spans="1:10" x14ac:dyDescent="0.35">
      <c r="A137" t="s">
        <v>236</v>
      </c>
      <c r="B137" s="1">
        <v>45761</v>
      </c>
      <c r="C137" t="s">
        <v>237</v>
      </c>
      <c r="D137" t="s">
        <v>87</v>
      </c>
      <c r="E137" t="s">
        <v>24</v>
      </c>
      <c r="F137" t="s">
        <v>18</v>
      </c>
      <c r="G137">
        <v>2</v>
      </c>
      <c r="H137">
        <v>81.66</v>
      </c>
      <c r="I137">
        <v>163.32</v>
      </c>
      <c r="J137">
        <v>36.39</v>
      </c>
    </row>
    <row r="138" spans="1:10" x14ac:dyDescent="0.35">
      <c r="A138" t="s">
        <v>238</v>
      </c>
      <c r="B138" s="1">
        <v>45762</v>
      </c>
      <c r="C138" t="s">
        <v>100</v>
      </c>
      <c r="D138" t="s">
        <v>17</v>
      </c>
      <c r="E138" t="s">
        <v>13</v>
      </c>
      <c r="F138" t="s">
        <v>14</v>
      </c>
      <c r="G138">
        <v>10</v>
      </c>
      <c r="H138">
        <v>641.48</v>
      </c>
      <c r="I138">
        <v>6414.8</v>
      </c>
      <c r="J138">
        <v>1343.58</v>
      </c>
    </row>
    <row r="139" spans="1:10" x14ac:dyDescent="0.35">
      <c r="A139" t="s">
        <v>239</v>
      </c>
      <c r="B139" s="1">
        <v>45762</v>
      </c>
      <c r="C139" t="s">
        <v>159</v>
      </c>
      <c r="D139" t="s">
        <v>23</v>
      </c>
      <c r="E139" t="s">
        <v>24</v>
      </c>
      <c r="F139" t="s">
        <v>20</v>
      </c>
      <c r="G139">
        <v>9</v>
      </c>
      <c r="H139">
        <v>79.540000000000006</v>
      </c>
      <c r="I139">
        <v>715.86</v>
      </c>
      <c r="J139">
        <v>171.42</v>
      </c>
    </row>
    <row r="140" spans="1:10" x14ac:dyDescent="0.35">
      <c r="A140" t="s">
        <v>240</v>
      </c>
      <c r="B140" s="1">
        <v>45763</v>
      </c>
      <c r="C140" t="s">
        <v>241</v>
      </c>
      <c r="D140" t="s">
        <v>87</v>
      </c>
      <c r="E140" t="s">
        <v>24</v>
      </c>
      <c r="F140" t="s">
        <v>18</v>
      </c>
      <c r="G140">
        <v>7</v>
      </c>
      <c r="H140">
        <v>115.7</v>
      </c>
      <c r="I140">
        <v>809.9</v>
      </c>
      <c r="J140">
        <v>108.21</v>
      </c>
    </row>
    <row r="141" spans="1:10" x14ac:dyDescent="0.35">
      <c r="A141" t="s">
        <v>242</v>
      </c>
      <c r="B141" s="1">
        <v>45764</v>
      </c>
      <c r="C141" t="s">
        <v>91</v>
      </c>
      <c r="D141" t="s">
        <v>40</v>
      </c>
      <c r="E141" t="s">
        <v>24</v>
      </c>
      <c r="F141" t="s">
        <v>14</v>
      </c>
      <c r="G141">
        <v>5</v>
      </c>
      <c r="H141">
        <v>44.41</v>
      </c>
      <c r="I141">
        <v>222.05</v>
      </c>
      <c r="J141">
        <v>55.51</v>
      </c>
    </row>
    <row r="142" spans="1:10" x14ac:dyDescent="0.35">
      <c r="A142" t="s">
        <v>243</v>
      </c>
      <c r="B142" s="1">
        <v>45765</v>
      </c>
      <c r="C142" t="s">
        <v>36</v>
      </c>
      <c r="D142" t="s">
        <v>37</v>
      </c>
      <c r="E142" t="s">
        <v>24</v>
      </c>
      <c r="F142" t="s">
        <v>20</v>
      </c>
      <c r="G142">
        <v>2</v>
      </c>
      <c r="H142">
        <v>57.47</v>
      </c>
      <c r="I142">
        <v>114.94</v>
      </c>
      <c r="J142">
        <v>28.22</v>
      </c>
    </row>
    <row r="143" spans="1:10" x14ac:dyDescent="0.35">
      <c r="A143" t="s">
        <v>244</v>
      </c>
      <c r="B143" s="1">
        <v>45766</v>
      </c>
      <c r="C143" t="s">
        <v>75</v>
      </c>
      <c r="D143" t="s">
        <v>17</v>
      </c>
      <c r="E143" t="s">
        <v>13</v>
      </c>
      <c r="F143" t="s">
        <v>32</v>
      </c>
      <c r="G143">
        <v>7</v>
      </c>
      <c r="H143">
        <v>216.42</v>
      </c>
      <c r="I143">
        <v>1514.94</v>
      </c>
      <c r="J143">
        <v>319.01</v>
      </c>
    </row>
    <row r="144" spans="1:10" x14ac:dyDescent="0.35">
      <c r="A144" t="s">
        <v>245</v>
      </c>
      <c r="B144" s="1">
        <v>45766</v>
      </c>
      <c r="C144" t="s">
        <v>98</v>
      </c>
      <c r="D144" t="s">
        <v>17</v>
      </c>
      <c r="E144" t="s">
        <v>13</v>
      </c>
      <c r="F144" t="s">
        <v>18</v>
      </c>
      <c r="G144">
        <v>4</v>
      </c>
      <c r="H144">
        <v>595.89</v>
      </c>
      <c r="I144">
        <v>2383.56</v>
      </c>
      <c r="J144">
        <v>206.1</v>
      </c>
    </row>
    <row r="145" spans="1:10" x14ac:dyDescent="0.35">
      <c r="A145" t="s">
        <v>246</v>
      </c>
      <c r="B145" s="1">
        <v>45767</v>
      </c>
      <c r="C145" t="s">
        <v>129</v>
      </c>
      <c r="D145" t="s">
        <v>87</v>
      </c>
      <c r="E145" t="s">
        <v>24</v>
      </c>
      <c r="F145" t="s">
        <v>20</v>
      </c>
      <c r="G145">
        <v>8</v>
      </c>
      <c r="H145">
        <v>60.26</v>
      </c>
      <c r="I145">
        <v>482.08</v>
      </c>
      <c r="J145">
        <v>65.349999999999994</v>
      </c>
    </row>
    <row r="146" spans="1:10" x14ac:dyDescent="0.35">
      <c r="A146" t="s">
        <v>247</v>
      </c>
      <c r="B146" s="1">
        <v>45768</v>
      </c>
      <c r="C146" t="s">
        <v>89</v>
      </c>
      <c r="D146" t="s">
        <v>27</v>
      </c>
      <c r="E146" t="s">
        <v>13</v>
      </c>
      <c r="F146" t="s">
        <v>18</v>
      </c>
      <c r="G146">
        <v>1</v>
      </c>
      <c r="H146">
        <v>165.46</v>
      </c>
      <c r="I146">
        <v>165.46</v>
      </c>
      <c r="J146">
        <v>43.17</v>
      </c>
    </row>
    <row r="147" spans="1:10" x14ac:dyDescent="0.35">
      <c r="A147" t="s">
        <v>248</v>
      </c>
      <c r="B147" s="1">
        <v>45768</v>
      </c>
      <c r="C147" t="s">
        <v>249</v>
      </c>
      <c r="D147" t="s">
        <v>23</v>
      </c>
      <c r="E147" t="s">
        <v>24</v>
      </c>
      <c r="F147" t="s">
        <v>14</v>
      </c>
      <c r="G147">
        <v>2</v>
      </c>
      <c r="H147">
        <v>58.7</v>
      </c>
      <c r="I147">
        <v>117.4</v>
      </c>
      <c r="J147">
        <v>26.19</v>
      </c>
    </row>
    <row r="148" spans="1:10" x14ac:dyDescent="0.35">
      <c r="A148" t="s">
        <v>250</v>
      </c>
      <c r="B148" s="1">
        <v>45768</v>
      </c>
      <c r="C148" t="s">
        <v>186</v>
      </c>
      <c r="D148" t="s">
        <v>40</v>
      </c>
      <c r="E148" t="s">
        <v>24</v>
      </c>
      <c r="F148" t="s">
        <v>18</v>
      </c>
      <c r="G148">
        <v>7</v>
      </c>
      <c r="H148">
        <v>136.09</v>
      </c>
      <c r="I148">
        <v>952.63</v>
      </c>
      <c r="J148">
        <v>167.83</v>
      </c>
    </row>
    <row r="149" spans="1:10" x14ac:dyDescent="0.35">
      <c r="A149" t="s">
        <v>251</v>
      </c>
      <c r="B149" s="1">
        <v>45769</v>
      </c>
      <c r="C149" t="s">
        <v>140</v>
      </c>
      <c r="D149" t="s">
        <v>23</v>
      </c>
      <c r="E149" t="s">
        <v>24</v>
      </c>
      <c r="F149" t="s">
        <v>18</v>
      </c>
      <c r="G149">
        <v>3</v>
      </c>
      <c r="H149">
        <v>20.420000000000002</v>
      </c>
      <c r="I149">
        <v>61.26</v>
      </c>
      <c r="J149">
        <v>5.0999999999999996</v>
      </c>
    </row>
    <row r="150" spans="1:10" x14ac:dyDescent="0.35">
      <c r="A150" t="s">
        <v>252</v>
      </c>
      <c r="B150" s="1">
        <v>45769</v>
      </c>
      <c r="C150" t="s">
        <v>253</v>
      </c>
      <c r="D150" t="s">
        <v>12</v>
      </c>
      <c r="E150" t="s">
        <v>13</v>
      </c>
      <c r="F150" t="s">
        <v>18</v>
      </c>
      <c r="G150">
        <v>3</v>
      </c>
      <c r="H150">
        <v>1319.62</v>
      </c>
      <c r="I150">
        <v>3958.86</v>
      </c>
      <c r="J150">
        <v>999.03</v>
      </c>
    </row>
    <row r="151" spans="1:10" x14ac:dyDescent="0.35">
      <c r="A151" t="s">
        <v>254</v>
      </c>
      <c r="B151" s="1">
        <v>45770</v>
      </c>
      <c r="C151" t="s">
        <v>16</v>
      </c>
      <c r="D151" t="s">
        <v>40</v>
      </c>
      <c r="E151" t="s">
        <v>24</v>
      </c>
      <c r="F151" t="s">
        <v>20</v>
      </c>
      <c r="G151">
        <v>9</v>
      </c>
      <c r="H151">
        <v>154.87</v>
      </c>
      <c r="I151">
        <v>1393.83</v>
      </c>
      <c r="J151">
        <v>192.73</v>
      </c>
    </row>
    <row r="152" spans="1:10" x14ac:dyDescent="0.35">
      <c r="A152" t="s">
        <v>255</v>
      </c>
      <c r="B152" s="1">
        <v>45770</v>
      </c>
      <c r="C152" t="s">
        <v>48</v>
      </c>
      <c r="D152" t="s">
        <v>17</v>
      </c>
      <c r="E152" t="s">
        <v>13</v>
      </c>
      <c r="F152" t="s">
        <v>18</v>
      </c>
      <c r="G152">
        <v>2</v>
      </c>
      <c r="H152">
        <v>552.09</v>
      </c>
      <c r="I152">
        <v>1104.18</v>
      </c>
      <c r="J152">
        <v>125.5</v>
      </c>
    </row>
    <row r="153" spans="1:10" x14ac:dyDescent="0.35">
      <c r="A153" t="s">
        <v>256</v>
      </c>
      <c r="B153" s="1">
        <v>45770</v>
      </c>
      <c r="C153" t="s">
        <v>68</v>
      </c>
      <c r="D153" t="s">
        <v>40</v>
      </c>
      <c r="E153" t="s">
        <v>24</v>
      </c>
      <c r="F153" t="s">
        <v>20</v>
      </c>
      <c r="G153">
        <v>8</v>
      </c>
      <c r="H153">
        <v>127.87</v>
      </c>
      <c r="I153">
        <v>1022.96</v>
      </c>
      <c r="J153">
        <v>232.94</v>
      </c>
    </row>
    <row r="154" spans="1:10" x14ac:dyDescent="0.35">
      <c r="A154" t="s">
        <v>257</v>
      </c>
      <c r="B154" s="1">
        <v>45770</v>
      </c>
      <c r="C154" t="s">
        <v>96</v>
      </c>
      <c r="D154" t="s">
        <v>17</v>
      </c>
      <c r="E154" t="s">
        <v>13</v>
      </c>
      <c r="F154" t="s">
        <v>14</v>
      </c>
      <c r="G154">
        <v>9</v>
      </c>
      <c r="H154">
        <v>239.4</v>
      </c>
      <c r="I154">
        <v>2154.6</v>
      </c>
      <c r="J154">
        <v>214.34</v>
      </c>
    </row>
    <row r="155" spans="1:10" x14ac:dyDescent="0.35">
      <c r="A155" t="s">
        <v>258</v>
      </c>
      <c r="B155" s="1">
        <v>45770</v>
      </c>
      <c r="C155" t="s">
        <v>178</v>
      </c>
      <c r="D155" t="s">
        <v>87</v>
      </c>
      <c r="E155" t="s">
        <v>24</v>
      </c>
      <c r="F155" t="s">
        <v>32</v>
      </c>
      <c r="G155">
        <v>5</v>
      </c>
      <c r="H155">
        <v>86.9</v>
      </c>
      <c r="I155">
        <v>434.5</v>
      </c>
      <c r="J155">
        <v>76.69</v>
      </c>
    </row>
    <row r="156" spans="1:10" x14ac:dyDescent="0.35">
      <c r="A156" t="s">
        <v>259</v>
      </c>
      <c r="B156" s="1">
        <v>45771</v>
      </c>
      <c r="C156" t="s">
        <v>260</v>
      </c>
      <c r="D156" t="s">
        <v>87</v>
      </c>
      <c r="E156" t="s">
        <v>24</v>
      </c>
      <c r="F156" t="s">
        <v>32</v>
      </c>
      <c r="G156">
        <v>10</v>
      </c>
      <c r="H156">
        <v>113.66</v>
      </c>
      <c r="I156">
        <v>1136.5999999999999</v>
      </c>
      <c r="J156">
        <v>323.5</v>
      </c>
    </row>
    <row r="157" spans="1:10" x14ac:dyDescent="0.35">
      <c r="A157" t="s">
        <v>261</v>
      </c>
      <c r="B157" s="1">
        <v>45771</v>
      </c>
      <c r="C157" t="s">
        <v>126</v>
      </c>
      <c r="D157" t="s">
        <v>17</v>
      </c>
      <c r="E157" t="s">
        <v>13</v>
      </c>
      <c r="F157" t="s">
        <v>14</v>
      </c>
      <c r="G157">
        <v>9</v>
      </c>
      <c r="H157">
        <v>582.39</v>
      </c>
      <c r="I157">
        <v>5241.51</v>
      </c>
      <c r="J157">
        <v>561.12</v>
      </c>
    </row>
    <row r="158" spans="1:10" x14ac:dyDescent="0.35">
      <c r="A158" t="s">
        <v>262</v>
      </c>
      <c r="B158" s="1">
        <v>45773</v>
      </c>
      <c r="C158" t="s">
        <v>122</v>
      </c>
      <c r="D158" t="s">
        <v>87</v>
      </c>
      <c r="E158" t="s">
        <v>24</v>
      </c>
      <c r="F158" t="s">
        <v>18</v>
      </c>
      <c r="G158">
        <v>4</v>
      </c>
      <c r="H158">
        <v>143.19999999999999</v>
      </c>
      <c r="I158">
        <v>572.79999999999995</v>
      </c>
      <c r="J158">
        <v>168.65</v>
      </c>
    </row>
    <row r="159" spans="1:10" x14ac:dyDescent="0.35">
      <c r="A159" t="s">
        <v>263</v>
      </c>
      <c r="B159" s="1">
        <v>45773</v>
      </c>
      <c r="C159" t="s">
        <v>264</v>
      </c>
      <c r="D159" t="s">
        <v>23</v>
      </c>
      <c r="E159" t="s">
        <v>24</v>
      </c>
      <c r="F159" t="s">
        <v>32</v>
      </c>
      <c r="G159">
        <v>5</v>
      </c>
      <c r="H159">
        <v>88.23</v>
      </c>
      <c r="I159">
        <v>441.15</v>
      </c>
      <c r="J159">
        <v>76.44</v>
      </c>
    </row>
    <row r="160" spans="1:10" x14ac:dyDescent="0.35">
      <c r="A160" t="s">
        <v>265</v>
      </c>
      <c r="B160" s="1">
        <v>45774</v>
      </c>
      <c r="C160" t="s">
        <v>249</v>
      </c>
      <c r="D160" t="s">
        <v>27</v>
      </c>
      <c r="E160" t="s">
        <v>13</v>
      </c>
      <c r="F160" t="s">
        <v>18</v>
      </c>
      <c r="G160">
        <v>4</v>
      </c>
      <c r="H160">
        <v>315.61</v>
      </c>
      <c r="I160">
        <v>1262.44</v>
      </c>
      <c r="J160">
        <v>338.24</v>
      </c>
    </row>
    <row r="161" spans="1:10" x14ac:dyDescent="0.35">
      <c r="A161" t="s">
        <v>266</v>
      </c>
      <c r="B161" s="1">
        <v>45774</v>
      </c>
      <c r="C161" t="s">
        <v>66</v>
      </c>
      <c r="D161" t="s">
        <v>63</v>
      </c>
      <c r="E161" t="s">
        <v>64</v>
      </c>
      <c r="F161" t="s">
        <v>32</v>
      </c>
      <c r="G161">
        <v>8</v>
      </c>
      <c r="H161">
        <v>231.05</v>
      </c>
      <c r="I161">
        <v>1848.4</v>
      </c>
      <c r="J161">
        <v>397.12</v>
      </c>
    </row>
    <row r="162" spans="1:10" x14ac:dyDescent="0.35">
      <c r="A162" t="s">
        <v>267</v>
      </c>
      <c r="B162" s="1">
        <v>45774</v>
      </c>
      <c r="C162" t="s">
        <v>34</v>
      </c>
      <c r="D162" t="s">
        <v>17</v>
      </c>
      <c r="E162" t="s">
        <v>13</v>
      </c>
      <c r="F162" t="s">
        <v>18</v>
      </c>
      <c r="G162">
        <v>5</v>
      </c>
      <c r="H162">
        <v>199.55</v>
      </c>
      <c r="I162">
        <v>997.75</v>
      </c>
      <c r="J162">
        <v>159.01</v>
      </c>
    </row>
    <row r="163" spans="1:10" x14ac:dyDescent="0.35">
      <c r="A163" t="s">
        <v>268</v>
      </c>
      <c r="B163" s="1">
        <v>45775</v>
      </c>
      <c r="C163" t="s">
        <v>269</v>
      </c>
      <c r="D163" t="s">
        <v>37</v>
      </c>
      <c r="E163" t="s">
        <v>24</v>
      </c>
      <c r="F163" t="s">
        <v>32</v>
      </c>
      <c r="G163">
        <v>6</v>
      </c>
      <c r="H163">
        <v>15.47</v>
      </c>
      <c r="I163">
        <v>92.82</v>
      </c>
      <c r="J163">
        <v>11.07</v>
      </c>
    </row>
    <row r="164" spans="1:10" x14ac:dyDescent="0.35">
      <c r="A164" t="s">
        <v>270</v>
      </c>
      <c r="B164" s="1">
        <v>45775</v>
      </c>
      <c r="C164" t="s">
        <v>271</v>
      </c>
      <c r="D164" t="s">
        <v>87</v>
      </c>
      <c r="E164" t="s">
        <v>24</v>
      </c>
      <c r="F164" t="s">
        <v>32</v>
      </c>
      <c r="G164">
        <v>1</v>
      </c>
      <c r="H164">
        <v>124.47</v>
      </c>
      <c r="I164">
        <v>124.47</v>
      </c>
      <c r="J164">
        <v>20.94</v>
      </c>
    </row>
    <row r="165" spans="1:10" x14ac:dyDescent="0.35">
      <c r="A165" t="s">
        <v>272</v>
      </c>
      <c r="B165" s="1">
        <v>45775</v>
      </c>
      <c r="C165" t="s">
        <v>152</v>
      </c>
      <c r="D165" t="s">
        <v>12</v>
      </c>
      <c r="E165" t="s">
        <v>13</v>
      </c>
      <c r="F165" t="s">
        <v>14</v>
      </c>
      <c r="G165">
        <v>1</v>
      </c>
      <c r="H165">
        <v>1253.3699999999999</v>
      </c>
      <c r="I165">
        <v>1253.3699999999999</v>
      </c>
      <c r="J165">
        <v>144.19</v>
      </c>
    </row>
    <row r="166" spans="1:10" x14ac:dyDescent="0.35">
      <c r="A166" t="s">
        <v>273</v>
      </c>
      <c r="B166" s="1">
        <v>45776</v>
      </c>
      <c r="C166" t="s">
        <v>138</v>
      </c>
      <c r="D166" t="s">
        <v>87</v>
      </c>
      <c r="E166" t="s">
        <v>24</v>
      </c>
      <c r="F166" t="s">
        <v>18</v>
      </c>
      <c r="G166">
        <v>6</v>
      </c>
      <c r="H166">
        <v>127.53</v>
      </c>
      <c r="I166">
        <v>765.18</v>
      </c>
      <c r="J166">
        <v>76.3</v>
      </c>
    </row>
    <row r="167" spans="1:10" x14ac:dyDescent="0.35">
      <c r="A167" t="s">
        <v>274</v>
      </c>
      <c r="B167" s="1">
        <v>45776</v>
      </c>
      <c r="C167" t="s">
        <v>50</v>
      </c>
      <c r="D167" t="s">
        <v>37</v>
      </c>
      <c r="E167" t="s">
        <v>24</v>
      </c>
      <c r="F167" t="s">
        <v>20</v>
      </c>
      <c r="G167">
        <v>5</v>
      </c>
      <c r="H167">
        <v>50.27</v>
      </c>
      <c r="I167">
        <v>251.35</v>
      </c>
      <c r="J167">
        <v>33.21</v>
      </c>
    </row>
    <row r="168" spans="1:10" x14ac:dyDescent="0.35">
      <c r="A168" t="s">
        <v>275</v>
      </c>
      <c r="B168" s="1">
        <v>45776</v>
      </c>
      <c r="C168" t="s">
        <v>124</v>
      </c>
      <c r="D168" t="s">
        <v>40</v>
      </c>
      <c r="E168" t="s">
        <v>24</v>
      </c>
      <c r="F168" t="s">
        <v>32</v>
      </c>
      <c r="G168">
        <v>5</v>
      </c>
      <c r="H168">
        <v>61.85</v>
      </c>
      <c r="I168">
        <v>309.25</v>
      </c>
      <c r="J168">
        <v>51.78</v>
      </c>
    </row>
    <row r="169" spans="1:10" x14ac:dyDescent="0.35">
      <c r="A169" t="s">
        <v>276</v>
      </c>
      <c r="B169" s="1">
        <v>45777</v>
      </c>
      <c r="C169" t="s">
        <v>277</v>
      </c>
      <c r="D169" t="s">
        <v>40</v>
      </c>
      <c r="E169" t="s">
        <v>24</v>
      </c>
      <c r="F169" t="s">
        <v>32</v>
      </c>
      <c r="G169">
        <v>5</v>
      </c>
      <c r="H169">
        <v>112.45</v>
      </c>
      <c r="I169">
        <v>562.25</v>
      </c>
      <c r="J169">
        <v>104.26</v>
      </c>
    </row>
    <row r="170" spans="1:10" x14ac:dyDescent="0.35">
      <c r="A170" t="s">
        <v>278</v>
      </c>
      <c r="B170" s="1">
        <v>45778</v>
      </c>
      <c r="C170" t="s">
        <v>77</v>
      </c>
      <c r="D170" t="s">
        <v>27</v>
      </c>
      <c r="E170" t="s">
        <v>13</v>
      </c>
      <c r="F170" t="s">
        <v>20</v>
      </c>
      <c r="G170">
        <v>5</v>
      </c>
      <c r="H170">
        <v>415.44</v>
      </c>
      <c r="I170">
        <v>2077.1999999999998</v>
      </c>
      <c r="J170">
        <v>538.04999999999995</v>
      </c>
    </row>
    <row r="171" spans="1:10" x14ac:dyDescent="0.35">
      <c r="A171" t="s">
        <v>279</v>
      </c>
      <c r="B171" s="1">
        <v>45779</v>
      </c>
      <c r="C171" t="s">
        <v>134</v>
      </c>
      <c r="D171" t="s">
        <v>12</v>
      </c>
      <c r="E171" t="s">
        <v>13</v>
      </c>
      <c r="F171" t="s">
        <v>18</v>
      </c>
      <c r="G171">
        <v>8</v>
      </c>
      <c r="H171">
        <v>1009.2</v>
      </c>
      <c r="I171">
        <v>8073.6</v>
      </c>
      <c r="J171">
        <v>829.38</v>
      </c>
    </row>
    <row r="172" spans="1:10" x14ac:dyDescent="0.35">
      <c r="A172" t="s">
        <v>280</v>
      </c>
      <c r="B172" s="1">
        <v>45781</v>
      </c>
      <c r="C172" t="s">
        <v>91</v>
      </c>
      <c r="D172" t="s">
        <v>40</v>
      </c>
      <c r="E172" t="s">
        <v>24</v>
      </c>
      <c r="F172" t="s">
        <v>32</v>
      </c>
      <c r="G172">
        <v>10</v>
      </c>
      <c r="H172">
        <v>57.18</v>
      </c>
      <c r="I172">
        <v>571.79999999999995</v>
      </c>
      <c r="J172">
        <v>64.56</v>
      </c>
    </row>
    <row r="173" spans="1:10" x14ac:dyDescent="0.35">
      <c r="A173" t="s">
        <v>281</v>
      </c>
      <c r="B173" s="1">
        <v>45781</v>
      </c>
      <c r="C173" t="s">
        <v>34</v>
      </c>
      <c r="D173" t="s">
        <v>37</v>
      </c>
      <c r="E173" t="s">
        <v>24</v>
      </c>
      <c r="F173" t="s">
        <v>18</v>
      </c>
      <c r="G173">
        <v>8</v>
      </c>
      <c r="H173">
        <v>27.26</v>
      </c>
      <c r="I173">
        <v>218.08</v>
      </c>
      <c r="J173">
        <v>64.790000000000006</v>
      </c>
    </row>
    <row r="174" spans="1:10" x14ac:dyDescent="0.35">
      <c r="A174" t="s">
        <v>282</v>
      </c>
      <c r="B174" s="1">
        <v>45781</v>
      </c>
      <c r="C174" t="s">
        <v>79</v>
      </c>
      <c r="D174" t="s">
        <v>12</v>
      </c>
      <c r="E174" t="s">
        <v>13</v>
      </c>
      <c r="F174" t="s">
        <v>32</v>
      </c>
      <c r="G174">
        <v>3</v>
      </c>
      <c r="H174">
        <v>1390.27</v>
      </c>
      <c r="I174">
        <v>4170.8100000000004</v>
      </c>
      <c r="J174">
        <v>953.8</v>
      </c>
    </row>
    <row r="175" spans="1:10" x14ac:dyDescent="0.35">
      <c r="A175" t="s">
        <v>283</v>
      </c>
      <c r="B175" s="1">
        <v>45783</v>
      </c>
      <c r="C175" t="s">
        <v>16</v>
      </c>
      <c r="D175" t="s">
        <v>27</v>
      </c>
      <c r="E175" t="s">
        <v>13</v>
      </c>
      <c r="F175" t="s">
        <v>32</v>
      </c>
      <c r="G175">
        <v>4</v>
      </c>
      <c r="H175">
        <v>375.77</v>
      </c>
      <c r="I175">
        <v>1503.08</v>
      </c>
      <c r="J175">
        <v>204.31</v>
      </c>
    </row>
    <row r="176" spans="1:10" x14ac:dyDescent="0.35">
      <c r="A176" t="s">
        <v>284</v>
      </c>
      <c r="B176" s="1">
        <v>45783</v>
      </c>
      <c r="C176" t="s">
        <v>138</v>
      </c>
      <c r="D176" t="s">
        <v>37</v>
      </c>
      <c r="E176" t="s">
        <v>24</v>
      </c>
      <c r="F176" t="s">
        <v>20</v>
      </c>
      <c r="G176">
        <v>7</v>
      </c>
      <c r="H176">
        <v>33.83</v>
      </c>
      <c r="I176">
        <v>236.81</v>
      </c>
      <c r="J176">
        <v>42.2</v>
      </c>
    </row>
    <row r="177" spans="1:10" x14ac:dyDescent="0.35">
      <c r="A177" t="s">
        <v>285</v>
      </c>
      <c r="B177" s="1">
        <v>45785</v>
      </c>
      <c r="C177" t="s">
        <v>194</v>
      </c>
      <c r="D177" t="s">
        <v>40</v>
      </c>
      <c r="E177" t="s">
        <v>24</v>
      </c>
      <c r="F177" t="s">
        <v>32</v>
      </c>
      <c r="G177">
        <v>5</v>
      </c>
      <c r="H177">
        <v>154.49</v>
      </c>
      <c r="I177">
        <v>772.45</v>
      </c>
      <c r="J177">
        <v>110.85</v>
      </c>
    </row>
    <row r="178" spans="1:10" x14ac:dyDescent="0.35">
      <c r="A178" t="s">
        <v>286</v>
      </c>
      <c r="B178" s="1">
        <v>45785</v>
      </c>
      <c r="C178" t="s">
        <v>136</v>
      </c>
      <c r="D178" t="s">
        <v>12</v>
      </c>
      <c r="E178" t="s">
        <v>13</v>
      </c>
      <c r="F178" t="s">
        <v>20</v>
      </c>
      <c r="G178">
        <v>3</v>
      </c>
      <c r="H178">
        <v>1339.64</v>
      </c>
      <c r="I178">
        <v>4018.92</v>
      </c>
      <c r="J178">
        <v>437.64</v>
      </c>
    </row>
    <row r="179" spans="1:10" x14ac:dyDescent="0.35">
      <c r="A179" t="s">
        <v>287</v>
      </c>
      <c r="B179" s="1">
        <v>45786</v>
      </c>
      <c r="C179" t="s">
        <v>82</v>
      </c>
      <c r="D179" t="s">
        <v>37</v>
      </c>
      <c r="E179" t="s">
        <v>24</v>
      </c>
      <c r="F179" t="s">
        <v>32</v>
      </c>
      <c r="G179">
        <v>8</v>
      </c>
      <c r="H179">
        <v>57.76</v>
      </c>
      <c r="I179">
        <v>462.08</v>
      </c>
      <c r="J179">
        <v>69.209999999999994</v>
      </c>
    </row>
    <row r="180" spans="1:10" x14ac:dyDescent="0.35">
      <c r="A180" t="s">
        <v>288</v>
      </c>
      <c r="B180" s="1">
        <v>45786</v>
      </c>
      <c r="C180" t="s">
        <v>112</v>
      </c>
      <c r="D180" t="s">
        <v>23</v>
      </c>
      <c r="E180" t="s">
        <v>24</v>
      </c>
      <c r="F180" t="s">
        <v>32</v>
      </c>
      <c r="G180">
        <v>9</v>
      </c>
      <c r="H180">
        <v>29.14</v>
      </c>
      <c r="I180">
        <v>262.26</v>
      </c>
      <c r="J180">
        <v>56.51</v>
      </c>
    </row>
    <row r="181" spans="1:10" x14ac:dyDescent="0.35">
      <c r="A181" t="s">
        <v>289</v>
      </c>
      <c r="B181" s="1">
        <v>45786</v>
      </c>
      <c r="C181" t="s">
        <v>290</v>
      </c>
      <c r="D181" t="s">
        <v>12</v>
      </c>
      <c r="E181" t="s">
        <v>13</v>
      </c>
      <c r="F181" t="s">
        <v>32</v>
      </c>
      <c r="G181">
        <v>10</v>
      </c>
      <c r="H181">
        <v>531.88</v>
      </c>
      <c r="I181">
        <v>5318.8</v>
      </c>
      <c r="J181">
        <v>529.37</v>
      </c>
    </row>
    <row r="182" spans="1:10" x14ac:dyDescent="0.35">
      <c r="A182" t="s">
        <v>291</v>
      </c>
      <c r="B182" s="1">
        <v>45787</v>
      </c>
      <c r="C182" t="s">
        <v>11</v>
      </c>
      <c r="D182" t="s">
        <v>27</v>
      </c>
      <c r="E182" t="s">
        <v>13</v>
      </c>
      <c r="F182" t="s">
        <v>14</v>
      </c>
      <c r="G182">
        <v>8</v>
      </c>
      <c r="H182">
        <v>399.82</v>
      </c>
      <c r="I182">
        <v>3198.56</v>
      </c>
      <c r="J182">
        <v>367.94</v>
      </c>
    </row>
    <row r="183" spans="1:10" x14ac:dyDescent="0.35">
      <c r="A183" t="s">
        <v>292</v>
      </c>
      <c r="B183" s="1">
        <v>45787</v>
      </c>
      <c r="C183" t="s">
        <v>54</v>
      </c>
      <c r="D183" t="s">
        <v>23</v>
      </c>
      <c r="E183" t="s">
        <v>24</v>
      </c>
      <c r="F183" t="s">
        <v>18</v>
      </c>
      <c r="G183">
        <v>1</v>
      </c>
      <c r="H183">
        <v>38.86</v>
      </c>
      <c r="I183">
        <v>38.86</v>
      </c>
      <c r="J183">
        <v>9.49</v>
      </c>
    </row>
    <row r="184" spans="1:10" x14ac:dyDescent="0.35">
      <c r="A184" t="s">
        <v>293</v>
      </c>
      <c r="B184" s="1">
        <v>45787</v>
      </c>
      <c r="C184" t="s">
        <v>174</v>
      </c>
      <c r="D184" t="s">
        <v>37</v>
      </c>
      <c r="E184" t="s">
        <v>24</v>
      </c>
      <c r="F184" t="s">
        <v>18</v>
      </c>
      <c r="G184">
        <v>3</v>
      </c>
      <c r="H184">
        <v>19.98</v>
      </c>
      <c r="I184">
        <v>59.94</v>
      </c>
      <c r="J184">
        <v>11.04</v>
      </c>
    </row>
    <row r="185" spans="1:10" x14ac:dyDescent="0.35">
      <c r="A185" t="s">
        <v>294</v>
      </c>
      <c r="B185" s="1">
        <v>45787</v>
      </c>
      <c r="C185" t="s">
        <v>194</v>
      </c>
      <c r="D185" t="s">
        <v>23</v>
      </c>
      <c r="E185" t="s">
        <v>24</v>
      </c>
      <c r="F185" t="s">
        <v>20</v>
      </c>
      <c r="G185">
        <v>8</v>
      </c>
      <c r="H185">
        <v>53.16</v>
      </c>
      <c r="I185">
        <v>425.28</v>
      </c>
      <c r="J185">
        <v>64.81</v>
      </c>
    </row>
    <row r="186" spans="1:10" x14ac:dyDescent="0.35">
      <c r="A186" t="s">
        <v>295</v>
      </c>
      <c r="B186" s="1">
        <v>45789</v>
      </c>
      <c r="C186" t="s">
        <v>120</v>
      </c>
      <c r="D186" t="s">
        <v>23</v>
      </c>
      <c r="E186" t="s">
        <v>24</v>
      </c>
      <c r="F186" t="s">
        <v>32</v>
      </c>
      <c r="G186">
        <v>3</v>
      </c>
      <c r="H186">
        <v>67.06</v>
      </c>
      <c r="I186">
        <v>201.18</v>
      </c>
      <c r="J186">
        <v>35.159999999999997</v>
      </c>
    </row>
    <row r="187" spans="1:10" x14ac:dyDescent="0.35">
      <c r="A187" t="s">
        <v>296</v>
      </c>
      <c r="B187" s="1">
        <v>45789</v>
      </c>
      <c r="C187" t="s">
        <v>145</v>
      </c>
      <c r="D187" t="s">
        <v>40</v>
      </c>
      <c r="E187" t="s">
        <v>24</v>
      </c>
      <c r="F187" t="s">
        <v>14</v>
      </c>
      <c r="G187">
        <v>9</v>
      </c>
      <c r="H187">
        <v>120.39</v>
      </c>
      <c r="I187">
        <v>1083.51</v>
      </c>
      <c r="J187">
        <v>210.93</v>
      </c>
    </row>
    <row r="188" spans="1:10" x14ac:dyDescent="0.35">
      <c r="A188" t="s">
        <v>297</v>
      </c>
      <c r="B188" s="1">
        <v>45790</v>
      </c>
      <c r="C188" t="s">
        <v>26</v>
      </c>
      <c r="D188" t="s">
        <v>87</v>
      </c>
      <c r="E188" t="s">
        <v>24</v>
      </c>
      <c r="F188" t="s">
        <v>32</v>
      </c>
      <c r="G188">
        <v>4</v>
      </c>
      <c r="H188">
        <v>145.78</v>
      </c>
      <c r="I188">
        <v>583.12</v>
      </c>
      <c r="J188">
        <v>119.89</v>
      </c>
    </row>
    <row r="189" spans="1:10" x14ac:dyDescent="0.35">
      <c r="A189" t="s">
        <v>298</v>
      </c>
      <c r="B189" s="1">
        <v>45790</v>
      </c>
      <c r="C189" t="s">
        <v>138</v>
      </c>
      <c r="D189" t="s">
        <v>87</v>
      </c>
      <c r="E189" t="s">
        <v>24</v>
      </c>
      <c r="F189" t="s">
        <v>20</v>
      </c>
      <c r="G189">
        <v>5</v>
      </c>
      <c r="H189">
        <v>123.75</v>
      </c>
      <c r="I189">
        <v>618.75</v>
      </c>
      <c r="J189">
        <v>130.87</v>
      </c>
    </row>
    <row r="190" spans="1:10" x14ac:dyDescent="0.35">
      <c r="A190" t="s">
        <v>299</v>
      </c>
      <c r="B190" s="1">
        <v>45791</v>
      </c>
      <c r="C190" t="s">
        <v>72</v>
      </c>
      <c r="D190" t="s">
        <v>37</v>
      </c>
      <c r="E190" t="s">
        <v>24</v>
      </c>
      <c r="F190" t="s">
        <v>18</v>
      </c>
      <c r="G190">
        <v>4</v>
      </c>
      <c r="H190">
        <v>46.14</v>
      </c>
      <c r="I190">
        <v>184.56</v>
      </c>
      <c r="J190">
        <v>22.05</v>
      </c>
    </row>
    <row r="191" spans="1:10" x14ac:dyDescent="0.35">
      <c r="A191" t="s">
        <v>300</v>
      </c>
      <c r="B191" s="1">
        <v>45792</v>
      </c>
      <c r="C191" t="s">
        <v>26</v>
      </c>
      <c r="D191" t="s">
        <v>12</v>
      </c>
      <c r="E191" t="s">
        <v>13</v>
      </c>
      <c r="F191" t="s">
        <v>20</v>
      </c>
      <c r="G191">
        <v>9</v>
      </c>
      <c r="H191">
        <v>1122.0999999999999</v>
      </c>
      <c r="I191">
        <v>10098.9</v>
      </c>
      <c r="J191">
        <v>1087.28</v>
      </c>
    </row>
    <row r="192" spans="1:10" x14ac:dyDescent="0.35">
      <c r="A192" t="s">
        <v>301</v>
      </c>
      <c r="B192" s="1">
        <v>45793</v>
      </c>
      <c r="C192" t="s">
        <v>271</v>
      </c>
      <c r="D192" t="s">
        <v>63</v>
      </c>
      <c r="E192" t="s">
        <v>64</v>
      </c>
      <c r="F192" t="s">
        <v>18</v>
      </c>
      <c r="G192">
        <v>10</v>
      </c>
      <c r="H192">
        <v>194.47</v>
      </c>
      <c r="I192">
        <v>1944.7</v>
      </c>
      <c r="J192">
        <v>482.95</v>
      </c>
    </row>
    <row r="193" spans="1:10" x14ac:dyDescent="0.35">
      <c r="A193" t="s">
        <v>302</v>
      </c>
      <c r="B193" s="1">
        <v>45793</v>
      </c>
      <c r="C193" t="s">
        <v>145</v>
      </c>
      <c r="D193" t="s">
        <v>37</v>
      </c>
      <c r="E193" t="s">
        <v>24</v>
      </c>
      <c r="F193" t="s">
        <v>14</v>
      </c>
      <c r="G193">
        <v>10</v>
      </c>
      <c r="H193">
        <v>30.4</v>
      </c>
      <c r="I193">
        <v>304</v>
      </c>
      <c r="J193">
        <v>63.07</v>
      </c>
    </row>
    <row r="194" spans="1:10" x14ac:dyDescent="0.35">
      <c r="A194" t="s">
        <v>303</v>
      </c>
      <c r="B194" s="1">
        <v>45794</v>
      </c>
      <c r="C194" t="s">
        <v>196</v>
      </c>
      <c r="D194" t="s">
        <v>17</v>
      </c>
      <c r="E194" t="s">
        <v>13</v>
      </c>
      <c r="F194" t="s">
        <v>14</v>
      </c>
      <c r="G194">
        <v>5</v>
      </c>
      <c r="H194">
        <v>388.82</v>
      </c>
      <c r="I194">
        <v>1944.1</v>
      </c>
      <c r="J194">
        <v>465.41</v>
      </c>
    </row>
    <row r="195" spans="1:10" x14ac:dyDescent="0.35">
      <c r="A195" t="s">
        <v>304</v>
      </c>
      <c r="B195" s="1">
        <v>45795</v>
      </c>
      <c r="C195" t="s">
        <v>72</v>
      </c>
      <c r="D195" t="s">
        <v>40</v>
      </c>
      <c r="E195" t="s">
        <v>24</v>
      </c>
      <c r="F195" t="s">
        <v>18</v>
      </c>
      <c r="G195">
        <v>5</v>
      </c>
      <c r="H195">
        <v>54.44</v>
      </c>
      <c r="I195">
        <v>272.2</v>
      </c>
      <c r="J195">
        <v>57.9</v>
      </c>
    </row>
    <row r="196" spans="1:10" x14ac:dyDescent="0.35">
      <c r="A196" t="s">
        <v>305</v>
      </c>
      <c r="B196" s="1">
        <v>45795</v>
      </c>
      <c r="C196" t="s">
        <v>84</v>
      </c>
      <c r="D196" t="s">
        <v>27</v>
      </c>
      <c r="E196" t="s">
        <v>13</v>
      </c>
      <c r="F196" t="s">
        <v>14</v>
      </c>
      <c r="G196">
        <v>5</v>
      </c>
      <c r="H196">
        <v>464.1</v>
      </c>
      <c r="I196">
        <v>2320.5</v>
      </c>
      <c r="J196">
        <v>396.5</v>
      </c>
    </row>
    <row r="197" spans="1:10" x14ac:dyDescent="0.35">
      <c r="A197" t="s">
        <v>306</v>
      </c>
      <c r="B197" s="1">
        <v>45795</v>
      </c>
      <c r="C197" t="s">
        <v>104</v>
      </c>
      <c r="D197" t="s">
        <v>12</v>
      </c>
      <c r="E197" t="s">
        <v>13</v>
      </c>
      <c r="F197" t="s">
        <v>32</v>
      </c>
      <c r="G197">
        <v>3</v>
      </c>
      <c r="H197">
        <v>808.27</v>
      </c>
      <c r="I197">
        <v>2424.81</v>
      </c>
      <c r="J197">
        <v>478.98</v>
      </c>
    </row>
    <row r="198" spans="1:10" x14ac:dyDescent="0.35">
      <c r="A198" t="s">
        <v>307</v>
      </c>
      <c r="B198" s="1">
        <v>45796</v>
      </c>
      <c r="C198" t="s">
        <v>115</v>
      </c>
      <c r="D198" t="s">
        <v>87</v>
      </c>
      <c r="E198" t="s">
        <v>24</v>
      </c>
      <c r="F198" t="s">
        <v>32</v>
      </c>
      <c r="G198">
        <v>4</v>
      </c>
      <c r="H198">
        <v>109.15</v>
      </c>
      <c r="I198">
        <v>436.6</v>
      </c>
      <c r="J198">
        <v>71.8</v>
      </c>
    </row>
    <row r="199" spans="1:10" x14ac:dyDescent="0.35">
      <c r="A199" t="s">
        <v>308</v>
      </c>
      <c r="B199" s="1">
        <v>45797</v>
      </c>
      <c r="C199" t="s">
        <v>184</v>
      </c>
      <c r="D199" t="s">
        <v>12</v>
      </c>
      <c r="E199" t="s">
        <v>13</v>
      </c>
      <c r="F199" t="s">
        <v>18</v>
      </c>
      <c r="G199">
        <v>4</v>
      </c>
      <c r="H199">
        <v>626.97</v>
      </c>
      <c r="I199">
        <v>2507.88</v>
      </c>
      <c r="J199">
        <v>569.96</v>
      </c>
    </row>
    <row r="200" spans="1:10" x14ac:dyDescent="0.35">
      <c r="A200" t="s">
        <v>309</v>
      </c>
      <c r="B200" s="1">
        <v>45798</v>
      </c>
      <c r="C200" t="s">
        <v>58</v>
      </c>
      <c r="D200" t="s">
        <v>63</v>
      </c>
      <c r="E200" t="s">
        <v>64</v>
      </c>
      <c r="F200" t="s">
        <v>14</v>
      </c>
      <c r="G200">
        <v>6</v>
      </c>
      <c r="H200">
        <v>140.84</v>
      </c>
      <c r="I200">
        <v>845.04</v>
      </c>
      <c r="J200">
        <v>86.6</v>
      </c>
    </row>
    <row r="201" spans="1:10" x14ac:dyDescent="0.35">
      <c r="A201" t="s">
        <v>310</v>
      </c>
      <c r="B201" s="1">
        <v>45798</v>
      </c>
      <c r="C201" t="s">
        <v>112</v>
      </c>
      <c r="D201" t="s">
        <v>27</v>
      </c>
      <c r="E201" t="s">
        <v>13</v>
      </c>
      <c r="F201" t="s">
        <v>18</v>
      </c>
      <c r="G201">
        <v>3</v>
      </c>
      <c r="H201">
        <v>282.73</v>
      </c>
      <c r="I201">
        <v>848.19</v>
      </c>
      <c r="J201">
        <v>73.7</v>
      </c>
    </row>
    <row r="202" spans="1:10" x14ac:dyDescent="0.35">
      <c r="A202" t="s">
        <v>311</v>
      </c>
      <c r="B202" s="1">
        <v>45799</v>
      </c>
      <c r="C202" t="s">
        <v>312</v>
      </c>
      <c r="D202" t="s">
        <v>63</v>
      </c>
      <c r="E202" t="s">
        <v>64</v>
      </c>
      <c r="F202" t="s">
        <v>14</v>
      </c>
      <c r="G202">
        <v>3</v>
      </c>
      <c r="H202">
        <v>267.85000000000002</v>
      </c>
      <c r="I202">
        <v>803.55</v>
      </c>
      <c r="J202">
        <v>92.64</v>
      </c>
    </row>
    <row r="203" spans="1:10" x14ac:dyDescent="0.35">
      <c r="A203" t="s">
        <v>313</v>
      </c>
      <c r="B203" s="1">
        <v>45800</v>
      </c>
      <c r="C203" t="s">
        <v>200</v>
      </c>
      <c r="D203" t="s">
        <v>87</v>
      </c>
      <c r="E203" t="s">
        <v>24</v>
      </c>
      <c r="F203" t="s">
        <v>18</v>
      </c>
      <c r="G203">
        <v>1</v>
      </c>
      <c r="H203">
        <v>157.62</v>
      </c>
      <c r="I203">
        <v>157.62</v>
      </c>
      <c r="J203">
        <v>21.58</v>
      </c>
    </row>
    <row r="204" spans="1:10" x14ac:dyDescent="0.35">
      <c r="A204" t="s">
        <v>314</v>
      </c>
      <c r="B204" s="1">
        <v>45801</v>
      </c>
      <c r="C204" t="s">
        <v>52</v>
      </c>
      <c r="D204" t="s">
        <v>12</v>
      </c>
      <c r="E204" t="s">
        <v>13</v>
      </c>
      <c r="F204" t="s">
        <v>32</v>
      </c>
      <c r="G204">
        <v>5</v>
      </c>
      <c r="H204">
        <v>1257.3800000000001</v>
      </c>
      <c r="I204">
        <v>6286.9</v>
      </c>
      <c r="J204">
        <v>1749.66</v>
      </c>
    </row>
    <row r="205" spans="1:10" x14ac:dyDescent="0.35">
      <c r="A205" t="s">
        <v>315</v>
      </c>
      <c r="B205" s="1">
        <v>45803</v>
      </c>
      <c r="C205" t="s">
        <v>94</v>
      </c>
      <c r="D205" t="s">
        <v>37</v>
      </c>
      <c r="E205" t="s">
        <v>24</v>
      </c>
      <c r="F205" t="s">
        <v>20</v>
      </c>
      <c r="G205">
        <v>5</v>
      </c>
      <c r="H205">
        <v>49.08</v>
      </c>
      <c r="I205">
        <v>245.4</v>
      </c>
      <c r="J205">
        <v>71.7</v>
      </c>
    </row>
    <row r="206" spans="1:10" x14ac:dyDescent="0.35">
      <c r="A206" t="s">
        <v>316</v>
      </c>
      <c r="B206" s="1">
        <v>45803</v>
      </c>
      <c r="C206" t="s">
        <v>205</v>
      </c>
      <c r="D206" t="s">
        <v>27</v>
      </c>
      <c r="E206" t="s">
        <v>13</v>
      </c>
      <c r="F206" t="s">
        <v>20</v>
      </c>
      <c r="G206">
        <v>2</v>
      </c>
      <c r="H206">
        <v>313.56</v>
      </c>
      <c r="I206">
        <v>627.12</v>
      </c>
      <c r="J206">
        <v>155.94</v>
      </c>
    </row>
    <row r="207" spans="1:10" x14ac:dyDescent="0.35">
      <c r="A207" t="s">
        <v>317</v>
      </c>
      <c r="B207" s="1">
        <v>45805</v>
      </c>
      <c r="C207" t="s">
        <v>188</v>
      </c>
      <c r="D207" t="s">
        <v>37</v>
      </c>
      <c r="E207" t="s">
        <v>24</v>
      </c>
      <c r="F207" t="s">
        <v>14</v>
      </c>
      <c r="G207">
        <v>8</v>
      </c>
      <c r="H207">
        <v>22.95</v>
      </c>
      <c r="I207">
        <v>183.6</v>
      </c>
      <c r="J207">
        <v>25.06</v>
      </c>
    </row>
    <row r="208" spans="1:10" x14ac:dyDescent="0.35">
      <c r="A208" t="s">
        <v>318</v>
      </c>
      <c r="B208" s="1">
        <v>45805</v>
      </c>
      <c r="C208" t="s">
        <v>319</v>
      </c>
      <c r="D208" t="s">
        <v>63</v>
      </c>
      <c r="E208" t="s">
        <v>64</v>
      </c>
      <c r="F208" t="s">
        <v>14</v>
      </c>
      <c r="G208">
        <v>5</v>
      </c>
      <c r="H208">
        <v>232.2</v>
      </c>
      <c r="I208">
        <v>1161</v>
      </c>
      <c r="J208">
        <v>295.42</v>
      </c>
    </row>
    <row r="209" spans="1:10" x14ac:dyDescent="0.35">
      <c r="A209" t="s">
        <v>320</v>
      </c>
      <c r="B209" s="1">
        <v>45806</v>
      </c>
      <c r="C209" t="s">
        <v>108</v>
      </c>
      <c r="D209" t="s">
        <v>87</v>
      </c>
      <c r="E209" t="s">
        <v>24</v>
      </c>
      <c r="F209" t="s">
        <v>32</v>
      </c>
      <c r="G209">
        <v>3</v>
      </c>
      <c r="H209">
        <v>88.72</v>
      </c>
      <c r="I209">
        <v>266.16000000000003</v>
      </c>
      <c r="J209">
        <v>67.95</v>
      </c>
    </row>
    <row r="210" spans="1:10" x14ac:dyDescent="0.35">
      <c r="A210" t="s">
        <v>321</v>
      </c>
      <c r="B210" s="1">
        <v>45806</v>
      </c>
      <c r="C210" t="s">
        <v>75</v>
      </c>
      <c r="D210" t="s">
        <v>12</v>
      </c>
      <c r="E210" t="s">
        <v>13</v>
      </c>
      <c r="F210" t="s">
        <v>18</v>
      </c>
      <c r="G210">
        <v>1</v>
      </c>
      <c r="H210">
        <v>1366.38</v>
      </c>
      <c r="I210">
        <v>1366.38</v>
      </c>
      <c r="J210">
        <v>208.78</v>
      </c>
    </row>
    <row r="211" spans="1:10" x14ac:dyDescent="0.35">
      <c r="A211" t="s">
        <v>322</v>
      </c>
      <c r="B211" s="1">
        <v>45806</v>
      </c>
      <c r="C211" t="s">
        <v>218</v>
      </c>
      <c r="D211" t="s">
        <v>40</v>
      </c>
      <c r="E211" t="s">
        <v>24</v>
      </c>
      <c r="F211" t="s">
        <v>32</v>
      </c>
      <c r="G211">
        <v>5</v>
      </c>
      <c r="H211">
        <v>88.31</v>
      </c>
      <c r="I211">
        <v>441.55</v>
      </c>
      <c r="J211">
        <v>129.85</v>
      </c>
    </row>
    <row r="212" spans="1:10" x14ac:dyDescent="0.35">
      <c r="A212" t="s">
        <v>323</v>
      </c>
      <c r="B212" s="1">
        <v>45806</v>
      </c>
      <c r="C212" t="s">
        <v>39</v>
      </c>
      <c r="D212" t="s">
        <v>63</v>
      </c>
      <c r="E212" t="s">
        <v>64</v>
      </c>
      <c r="F212" t="s">
        <v>20</v>
      </c>
      <c r="G212">
        <v>5</v>
      </c>
      <c r="H212">
        <v>176.31</v>
      </c>
      <c r="I212">
        <v>881.55</v>
      </c>
      <c r="J212">
        <v>183.03</v>
      </c>
    </row>
    <row r="213" spans="1:10" x14ac:dyDescent="0.35">
      <c r="A213" t="s">
        <v>324</v>
      </c>
      <c r="B213" s="1">
        <v>45806</v>
      </c>
      <c r="C213" t="s">
        <v>184</v>
      </c>
      <c r="D213" t="s">
        <v>63</v>
      </c>
      <c r="E213" t="s">
        <v>64</v>
      </c>
      <c r="F213" t="s">
        <v>14</v>
      </c>
      <c r="G213">
        <v>2</v>
      </c>
      <c r="H213">
        <v>435.68</v>
      </c>
      <c r="I213">
        <v>871.36</v>
      </c>
      <c r="J213">
        <v>83.59</v>
      </c>
    </row>
    <row r="214" spans="1:10" x14ac:dyDescent="0.35">
      <c r="A214" t="s">
        <v>325</v>
      </c>
      <c r="B214" s="1">
        <v>45807</v>
      </c>
      <c r="C214" t="s">
        <v>188</v>
      </c>
      <c r="D214" t="s">
        <v>37</v>
      </c>
      <c r="E214" t="s">
        <v>24</v>
      </c>
      <c r="F214" t="s">
        <v>14</v>
      </c>
      <c r="G214">
        <v>6</v>
      </c>
      <c r="H214">
        <v>30.26</v>
      </c>
      <c r="I214">
        <v>181.56</v>
      </c>
      <c r="J214">
        <v>43.72</v>
      </c>
    </row>
    <row r="215" spans="1:10" x14ac:dyDescent="0.35">
      <c r="A215" t="s">
        <v>326</v>
      </c>
      <c r="B215" s="1">
        <v>45808</v>
      </c>
      <c r="C215" t="s">
        <v>56</v>
      </c>
      <c r="D215" t="s">
        <v>17</v>
      </c>
      <c r="E215" t="s">
        <v>13</v>
      </c>
      <c r="F215" t="s">
        <v>14</v>
      </c>
      <c r="G215">
        <v>9</v>
      </c>
      <c r="H215">
        <v>563.15</v>
      </c>
      <c r="I215">
        <v>5068.3500000000004</v>
      </c>
      <c r="J215">
        <v>671.62</v>
      </c>
    </row>
    <row r="216" spans="1:10" x14ac:dyDescent="0.35">
      <c r="A216" t="s">
        <v>327</v>
      </c>
      <c r="B216" s="1">
        <v>45808</v>
      </c>
      <c r="C216" t="s">
        <v>138</v>
      </c>
      <c r="D216" t="s">
        <v>17</v>
      </c>
      <c r="E216" t="s">
        <v>13</v>
      </c>
      <c r="F216" t="s">
        <v>18</v>
      </c>
      <c r="G216">
        <v>2</v>
      </c>
      <c r="H216">
        <v>535.26</v>
      </c>
      <c r="I216">
        <v>1070.52</v>
      </c>
      <c r="J216">
        <v>116.9</v>
      </c>
    </row>
    <row r="217" spans="1:10" x14ac:dyDescent="0.35">
      <c r="A217" t="s">
        <v>328</v>
      </c>
      <c r="B217" s="1">
        <v>45808</v>
      </c>
      <c r="C217" t="s">
        <v>230</v>
      </c>
      <c r="D217" t="s">
        <v>12</v>
      </c>
      <c r="E217" t="s">
        <v>13</v>
      </c>
      <c r="F217" t="s">
        <v>18</v>
      </c>
      <c r="G217">
        <v>10</v>
      </c>
      <c r="H217">
        <v>1317.08</v>
      </c>
      <c r="I217">
        <v>13170.8</v>
      </c>
      <c r="J217">
        <v>3569.12</v>
      </c>
    </row>
    <row r="218" spans="1:10" x14ac:dyDescent="0.35">
      <c r="A218" t="s">
        <v>329</v>
      </c>
      <c r="B218" s="1">
        <v>45809</v>
      </c>
      <c r="C218" t="s">
        <v>70</v>
      </c>
      <c r="D218" t="s">
        <v>40</v>
      </c>
      <c r="E218" t="s">
        <v>24</v>
      </c>
      <c r="F218" t="s">
        <v>32</v>
      </c>
      <c r="G218">
        <v>8</v>
      </c>
      <c r="H218">
        <v>151.91</v>
      </c>
      <c r="I218">
        <v>1215.28</v>
      </c>
      <c r="J218">
        <v>234.96</v>
      </c>
    </row>
    <row r="219" spans="1:10" x14ac:dyDescent="0.35">
      <c r="A219" t="s">
        <v>330</v>
      </c>
      <c r="B219" s="1">
        <v>45809</v>
      </c>
      <c r="C219" t="s">
        <v>84</v>
      </c>
      <c r="D219" t="s">
        <v>37</v>
      </c>
      <c r="E219" t="s">
        <v>24</v>
      </c>
      <c r="F219" t="s">
        <v>14</v>
      </c>
      <c r="G219">
        <v>3</v>
      </c>
      <c r="H219">
        <v>27.47</v>
      </c>
      <c r="I219">
        <v>82.41</v>
      </c>
      <c r="J219">
        <v>13.76</v>
      </c>
    </row>
    <row r="220" spans="1:10" x14ac:dyDescent="0.35">
      <c r="A220" t="s">
        <v>331</v>
      </c>
      <c r="B220" s="1">
        <v>45809</v>
      </c>
      <c r="C220" t="s">
        <v>194</v>
      </c>
      <c r="D220" t="s">
        <v>17</v>
      </c>
      <c r="E220" t="s">
        <v>13</v>
      </c>
      <c r="F220" t="s">
        <v>18</v>
      </c>
      <c r="G220">
        <v>10</v>
      </c>
      <c r="H220">
        <v>211.99</v>
      </c>
      <c r="I220">
        <v>2119.9</v>
      </c>
      <c r="J220">
        <v>623.91999999999996</v>
      </c>
    </row>
    <row r="221" spans="1:10" x14ac:dyDescent="0.35">
      <c r="A221" t="s">
        <v>332</v>
      </c>
      <c r="B221" s="1">
        <v>45810</v>
      </c>
      <c r="C221" t="s">
        <v>26</v>
      </c>
      <c r="D221" t="s">
        <v>12</v>
      </c>
      <c r="E221" t="s">
        <v>13</v>
      </c>
      <c r="F221" t="s">
        <v>18</v>
      </c>
      <c r="G221">
        <v>2</v>
      </c>
      <c r="H221">
        <v>826.75</v>
      </c>
      <c r="I221">
        <v>1653.5</v>
      </c>
      <c r="J221">
        <v>335.31</v>
      </c>
    </row>
    <row r="222" spans="1:10" x14ac:dyDescent="0.35">
      <c r="A222" t="s">
        <v>333</v>
      </c>
      <c r="B222" s="1">
        <v>45811</v>
      </c>
      <c r="C222" t="s">
        <v>77</v>
      </c>
      <c r="D222" t="s">
        <v>17</v>
      </c>
      <c r="E222" t="s">
        <v>13</v>
      </c>
      <c r="F222" t="s">
        <v>20</v>
      </c>
      <c r="G222">
        <v>2</v>
      </c>
      <c r="H222">
        <v>183.92</v>
      </c>
      <c r="I222">
        <v>367.84</v>
      </c>
      <c r="J222">
        <v>102.96</v>
      </c>
    </row>
    <row r="223" spans="1:10" x14ac:dyDescent="0.35">
      <c r="A223" t="s">
        <v>334</v>
      </c>
      <c r="B223" s="1">
        <v>45811</v>
      </c>
      <c r="C223" t="s">
        <v>108</v>
      </c>
      <c r="D223" t="s">
        <v>27</v>
      </c>
      <c r="E223" t="s">
        <v>13</v>
      </c>
      <c r="F223" t="s">
        <v>32</v>
      </c>
      <c r="G223">
        <v>8</v>
      </c>
      <c r="H223">
        <v>259.5</v>
      </c>
      <c r="I223">
        <v>2076</v>
      </c>
      <c r="J223">
        <v>465.09</v>
      </c>
    </row>
    <row r="224" spans="1:10" x14ac:dyDescent="0.35">
      <c r="A224" t="s">
        <v>335</v>
      </c>
      <c r="B224" s="1">
        <v>45812</v>
      </c>
      <c r="C224" t="s">
        <v>170</v>
      </c>
      <c r="D224" t="s">
        <v>27</v>
      </c>
      <c r="E224" t="s">
        <v>13</v>
      </c>
      <c r="F224" t="s">
        <v>18</v>
      </c>
      <c r="G224">
        <v>3</v>
      </c>
      <c r="H224">
        <v>361.39</v>
      </c>
      <c r="I224">
        <v>1084.17</v>
      </c>
      <c r="J224">
        <v>303.26</v>
      </c>
    </row>
    <row r="225" spans="1:10" x14ac:dyDescent="0.35">
      <c r="A225" t="s">
        <v>336</v>
      </c>
      <c r="B225" s="1">
        <v>45813</v>
      </c>
      <c r="C225" t="s">
        <v>290</v>
      </c>
      <c r="D225" t="s">
        <v>27</v>
      </c>
      <c r="E225" t="s">
        <v>13</v>
      </c>
      <c r="F225" t="s">
        <v>20</v>
      </c>
      <c r="G225">
        <v>3</v>
      </c>
      <c r="H225">
        <v>173.32</v>
      </c>
      <c r="I225">
        <v>519.96</v>
      </c>
      <c r="J225">
        <v>145.9</v>
      </c>
    </row>
    <row r="226" spans="1:10" x14ac:dyDescent="0.35">
      <c r="A226" t="s">
        <v>337</v>
      </c>
      <c r="B226" s="1">
        <v>45815</v>
      </c>
      <c r="C226" t="s">
        <v>66</v>
      </c>
      <c r="D226" t="s">
        <v>27</v>
      </c>
      <c r="E226" t="s">
        <v>13</v>
      </c>
      <c r="F226" t="s">
        <v>32</v>
      </c>
      <c r="G226">
        <v>7</v>
      </c>
      <c r="H226">
        <v>151.86000000000001</v>
      </c>
      <c r="I226">
        <v>1063.02</v>
      </c>
      <c r="J226">
        <v>186.13</v>
      </c>
    </row>
    <row r="227" spans="1:10" x14ac:dyDescent="0.35">
      <c r="A227" t="s">
        <v>338</v>
      </c>
      <c r="B227" s="1">
        <v>45815</v>
      </c>
      <c r="C227" t="s">
        <v>16</v>
      </c>
      <c r="D227" t="s">
        <v>87</v>
      </c>
      <c r="E227" t="s">
        <v>24</v>
      </c>
      <c r="F227" t="s">
        <v>14</v>
      </c>
      <c r="G227">
        <v>4</v>
      </c>
      <c r="H227">
        <v>103.61</v>
      </c>
      <c r="I227">
        <v>414.44</v>
      </c>
      <c r="J227">
        <v>68.91</v>
      </c>
    </row>
    <row r="228" spans="1:10" x14ac:dyDescent="0.35">
      <c r="A228" t="s">
        <v>339</v>
      </c>
      <c r="B228" s="1">
        <v>45815</v>
      </c>
      <c r="C228" t="s">
        <v>312</v>
      </c>
      <c r="D228" t="s">
        <v>17</v>
      </c>
      <c r="E228" t="s">
        <v>13</v>
      </c>
      <c r="F228" t="s">
        <v>18</v>
      </c>
      <c r="G228">
        <v>2</v>
      </c>
      <c r="H228">
        <v>401.94</v>
      </c>
      <c r="I228">
        <v>803.88</v>
      </c>
      <c r="J228">
        <v>139.38999999999999</v>
      </c>
    </row>
    <row r="229" spans="1:10" x14ac:dyDescent="0.35">
      <c r="A229" t="s">
        <v>340</v>
      </c>
      <c r="B229" s="1">
        <v>45816</v>
      </c>
      <c r="C229" t="s">
        <v>39</v>
      </c>
      <c r="D229" t="s">
        <v>17</v>
      </c>
      <c r="E229" t="s">
        <v>13</v>
      </c>
      <c r="F229" t="s">
        <v>20</v>
      </c>
      <c r="G229">
        <v>3</v>
      </c>
      <c r="H229">
        <v>397.1</v>
      </c>
      <c r="I229">
        <v>1191.3</v>
      </c>
      <c r="J229">
        <v>309.10000000000002</v>
      </c>
    </row>
    <row r="230" spans="1:10" x14ac:dyDescent="0.35">
      <c r="A230" t="s">
        <v>341</v>
      </c>
      <c r="B230" s="1">
        <v>45817</v>
      </c>
      <c r="C230" t="s">
        <v>253</v>
      </c>
      <c r="D230" t="s">
        <v>37</v>
      </c>
      <c r="E230" t="s">
        <v>24</v>
      </c>
      <c r="F230" t="s">
        <v>14</v>
      </c>
      <c r="G230">
        <v>5</v>
      </c>
      <c r="H230">
        <v>47.53</v>
      </c>
      <c r="I230">
        <v>237.65</v>
      </c>
      <c r="J230">
        <v>42.14</v>
      </c>
    </row>
    <row r="231" spans="1:10" x14ac:dyDescent="0.35">
      <c r="A231" t="s">
        <v>342</v>
      </c>
      <c r="B231" s="1">
        <v>45817</v>
      </c>
      <c r="C231" t="s">
        <v>22</v>
      </c>
      <c r="D231" t="s">
        <v>87</v>
      </c>
      <c r="E231" t="s">
        <v>24</v>
      </c>
      <c r="F231" t="s">
        <v>14</v>
      </c>
      <c r="G231">
        <v>4</v>
      </c>
      <c r="H231">
        <v>140.38999999999999</v>
      </c>
      <c r="I231">
        <v>561.55999999999995</v>
      </c>
      <c r="J231">
        <v>76.12</v>
      </c>
    </row>
    <row r="232" spans="1:10" x14ac:dyDescent="0.35">
      <c r="A232" t="s">
        <v>343</v>
      </c>
      <c r="B232" s="1">
        <v>45817</v>
      </c>
      <c r="C232" t="s">
        <v>29</v>
      </c>
      <c r="D232" t="s">
        <v>17</v>
      </c>
      <c r="E232" t="s">
        <v>13</v>
      </c>
      <c r="F232" t="s">
        <v>14</v>
      </c>
      <c r="G232">
        <v>2</v>
      </c>
      <c r="H232">
        <v>488.34</v>
      </c>
      <c r="I232">
        <v>976.68</v>
      </c>
      <c r="J232">
        <v>86.98</v>
      </c>
    </row>
    <row r="233" spans="1:10" x14ac:dyDescent="0.35">
      <c r="A233" t="s">
        <v>344</v>
      </c>
      <c r="B233" s="1">
        <v>45818</v>
      </c>
      <c r="C233" t="s">
        <v>29</v>
      </c>
      <c r="D233" t="s">
        <v>40</v>
      </c>
      <c r="E233" t="s">
        <v>24</v>
      </c>
      <c r="F233" t="s">
        <v>14</v>
      </c>
      <c r="G233">
        <v>4</v>
      </c>
      <c r="H233">
        <v>54.93</v>
      </c>
      <c r="I233">
        <v>219.72</v>
      </c>
      <c r="J233">
        <v>28.71</v>
      </c>
    </row>
    <row r="234" spans="1:10" x14ac:dyDescent="0.35">
      <c r="A234" t="s">
        <v>345</v>
      </c>
      <c r="B234" s="1">
        <v>45819</v>
      </c>
      <c r="C234" t="s">
        <v>205</v>
      </c>
      <c r="D234" t="s">
        <v>40</v>
      </c>
      <c r="E234" t="s">
        <v>24</v>
      </c>
      <c r="F234" t="s">
        <v>20</v>
      </c>
      <c r="G234">
        <v>2</v>
      </c>
      <c r="H234">
        <v>102.42</v>
      </c>
      <c r="I234">
        <v>204.84</v>
      </c>
      <c r="J234">
        <v>57.75</v>
      </c>
    </row>
    <row r="235" spans="1:10" x14ac:dyDescent="0.35">
      <c r="A235" t="s">
        <v>346</v>
      </c>
      <c r="B235" s="1">
        <v>45820</v>
      </c>
      <c r="C235" t="s">
        <v>194</v>
      </c>
      <c r="D235" t="s">
        <v>37</v>
      </c>
      <c r="E235" t="s">
        <v>24</v>
      </c>
      <c r="F235" t="s">
        <v>18</v>
      </c>
      <c r="G235">
        <v>9</v>
      </c>
      <c r="H235">
        <v>53.22</v>
      </c>
      <c r="I235">
        <v>478.98</v>
      </c>
      <c r="J235">
        <v>65.400000000000006</v>
      </c>
    </row>
    <row r="236" spans="1:10" x14ac:dyDescent="0.35">
      <c r="A236" t="s">
        <v>347</v>
      </c>
      <c r="B236" s="1">
        <v>45820</v>
      </c>
      <c r="C236" t="s">
        <v>36</v>
      </c>
      <c r="D236" t="s">
        <v>27</v>
      </c>
      <c r="E236" t="s">
        <v>13</v>
      </c>
      <c r="F236" t="s">
        <v>14</v>
      </c>
      <c r="G236">
        <v>2</v>
      </c>
      <c r="H236">
        <v>221.78</v>
      </c>
      <c r="I236">
        <v>443.56</v>
      </c>
      <c r="J236">
        <v>51.72</v>
      </c>
    </row>
    <row r="237" spans="1:10" x14ac:dyDescent="0.35">
      <c r="A237" t="s">
        <v>348</v>
      </c>
      <c r="B237" s="1">
        <v>45821</v>
      </c>
      <c r="C237" t="s">
        <v>269</v>
      </c>
      <c r="D237" t="s">
        <v>23</v>
      </c>
      <c r="E237" t="s">
        <v>24</v>
      </c>
      <c r="F237" t="s">
        <v>14</v>
      </c>
      <c r="G237">
        <v>3</v>
      </c>
      <c r="H237">
        <v>28.18</v>
      </c>
      <c r="I237">
        <v>84.54</v>
      </c>
      <c r="J237">
        <v>19.23</v>
      </c>
    </row>
    <row r="238" spans="1:10" x14ac:dyDescent="0.35">
      <c r="A238" t="s">
        <v>349</v>
      </c>
      <c r="B238" s="1">
        <v>45821</v>
      </c>
      <c r="C238" t="s">
        <v>136</v>
      </c>
      <c r="D238" t="s">
        <v>12</v>
      </c>
      <c r="E238" t="s">
        <v>13</v>
      </c>
      <c r="F238" t="s">
        <v>18</v>
      </c>
      <c r="G238">
        <v>6</v>
      </c>
      <c r="H238">
        <v>1349.97</v>
      </c>
      <c r="I238">
        <v>8099.82</v>
      </c>
      <c r="J238">
        <v>1447.69</v>
      </c>
    </row>
    <row r="239" spans="1:10" x14ac:dyDescent="0.35">
      <c r="A239" t="s">
        <v>350</v>
      </c>
      <c r="B239" s="1">
        <v>45821</v>
      </c>
      <c r="C239" t="s">
        <v>319</v>
      </c>
      <c r="D239" t="s">
        <v>37</v>
      </c>
      <c r="E239" t="s">
        <v>24</v>
      </c>
      <c r="F239" t="s">
        <v>18</v>
      </c>
      <c r="G239">
        <v>6</v>
      </c>
      <c r="H239">
        <v>28.46</v>
      </c>
      <c r="I239">
        <v>170.76</v>
      </c>
      <c r="J239">
        <v>16.13</v>
      </c>
    </row>
    <row r="240" spans="1:10" x14ac:dyDescent="0.35">
      <c r="A240" t="s">
        <v>351</v>
      </c>
      <c r="B240" s="1">
        <v>45823</v>
      </c>
      <c r="C240" t="s">
        <v>89</v>
      </c>
      <c r="D240" t="s">
        <v>87</v>
      </c>
      <c r="E240" t="s">
        <v>24</v>
      </c>
      <c r="F240" t="s">
        <v>20</v>
      </c>
      <c r="G240">
        <v>9</v>
      </c>
      <c r="H240">
        <v>164.49</v>
      </c>
      <c r="I240">
        <v>1480.41</v>
      </c>
      <c r="J240">
        <v>160.27000000000001</v>
      </c>
    </row>
    <row r="241" spans="1:10" x14ac:dyDescent="0.35">
      <c r="A241" t="s">
        <v>352</v>
      </c>
      <c r="B241" s="1">
        <v>45826</v>
      </c>
      <c r="C241" t="s">
        <v>60</v>
      </c>
      <c r="D241" t="s">
        <v>27</v>
      </c>
      <c r="E241" t="s">
        <v>13</v>
      </c>
      <c r="F241" t="s">
        <v>14</v>
      </c>
      <c r="G241">
        <v>2</v>
      </c>
      <c r="H241">
        <v>344.85</v>
      </c>
      <c r="I241">
        <v>689.7</v>
      </c>
      <c r="J241">
        <v>146.02000000000001</v>
      </c>
    </row>
    <row r="242" spans="1:10" x14ac:dyDescent="0.35">
      <c r="A242" t="s">
        <v>353</v>
      </c>
      <c r="B242" s="1">
        <v>45828</v>
      </c>
      <c r="C242" t="s">
        <v>271</v>
      </c>
      <c r="D242" t="s">
        <v>63</v>
      </c>
      <c r="E242" t="s">
        <v>64</v>
      </c>
      <c r="F242" t="s">
        <v>20</v>
      </c>
      <c r="G242">
        <v>5</v>
      </c>
      <c r="H242">
        <v>223.85</v>
      </c>
      <c r="I242">
        <v>1119.25</v>
      </c>
      <c r="J242">
        <v>237.43</v>
      </c>
    </row>
    <row r="243" spans="1:10" x14ac:dyDescent="0.35">
      <c r="A243" t="s">
        <v>354</v>
      </c>
      <c r="B243" s="1">
        <v>45829</v>
      </c>
      <c r="C243" t="s">
        <v>122</v>
      </c>
      <c r="D243" t="s">
        <v>40</v>
      </c>
      <c r="E243" t="s">
        <v>24</v>
      </c>
      <c r="F243" t="s">
        <v>32</v>
      </c>
      <c r="G243">
        <v>3</v>
      </c>
      <c r="H243">
        <v>66.34</v>
      </c>
      <c r="I243">
        <v>199.02</v>
      </c>
      <c r="J243">
        <v>43.94</v>
      </c>
    </row>
    <row r="244" spans="1:10" x14ac:dyDescent="0.35">
      <c r="A244" t="s">
        <v>355</v>
      </c>
      <c r="B244" s="1">
        <v>45830</v>
      </c>
      <c r="C244" t="s">
        <v>36</v>
      </c>
      <c r="D244" t="s">
        <v>37</v>
      </c>
      <c r="E244" t="s">
        <v>24</v>
      </c>
      <c r="F244" t="s">
        <v>18</v>
      </c>
      <c r="G244">
        <v>9</v>
      </c>
      <c r="H244">
        <v>32.950000000000003</v>
      </c>
      <c r="I244">
        <v>296.55</v>
      </c>
      <c r="J244">
        <v>50.86</v>
      </c>
    </row>
    <row r="245" spans="1:10" x14ac:dyDescent="0.35">
      <c r="A245" t="s">
        <v>356</v>
      </c>
      <c r="B245" s="1">
        <v>45830</v>
      </c>
      <c r="C245" t="s">
        <v>94</v>
      </c>
      <c r="D245" t="s">
        <v>12</v>
      </c>
      <c r="E245" t="s">
        <v>13</v>
      </c>
      <c r="F245" t="s">
        <v>32</v>
      </c>
      <c r="G245">
        <v>10</v>
      </c>
      <c r="H245">
        <v>1153.49</v>
      </c>
      <c r="I245">
        <v>11534.9</v>
      </c>
      <c r="J245">
        <v>3007.34</v>
      </c>
    </row>
    <row r="246" spans="1:10" x14ac:dyDescent="0.35">
      <c r="A246" t="s">
        <v>357</v>
      </c>
      <c r="B246" s="1">
        <v>45830</v>
      </c>
      <c r="C246" t="s">
        <v>26</v>
      </c>
      <c r="D246" t="s">
        <v>40</v>
      </c>
      <c r="E246" t="s">
        <v>24</v>
      </c>
      <c r="F246" t="s">
        <v>20</v>
      </c>
      <c r="G246">
        <v>4</v>
      </c>
      <c r="H246">
        <v>142.09</v>
      </c>
      <c r="I246">
        <v>568.36</v>
      </c>
      <c r="J246">
        <v>150.5</v>
      </c>
    </row>
    <row r="247" spans="1:10" x14ac:dyDescent="0.35">
      <c r="A247" t="s">
        <v>358</v>
      </c>
      <c r="B247" s="1">
        <v>45830</v>
      </c>
      <c r="C247" t="s">
        <v>269</v>
      </c>
      <c r="D247" t="s">
        <v>12</v>
      </c>
      <c r="E247" t="s">
        <v>13</v>
      </c>
      <c r="F247" t="s">
        <v>20</v>
      </c>
      <c r="G247">
        <v>1</v>
      </c>
      <c r="H247">
        <v>858.46</v>
      </c>
      <c r="I247">
        <v>858.46</v>
      </c>
      <c r="J247">
        <v>116.96</v>
      </c>
    </row>
    <row r="248" spans="1:10" x14ac:dyDescent="0.35">
      <c r="A248" t="s">
        <v>359</v>
      </c>
      <c r="B248" s="1">
        <v>45831</v>
      </c>
      <c r="C248" t="s">
        <v>68</v>
      </c>
      <c r="D248" t="s">
        <v>17</v>
      </c>
      <c r="E248" t="s">
        <v>13</v>
      </c>
      <c r="F248" t="s">
        <v>18</v>
      </c>
      <c r="G248">
        <v>1</v>
      </c>
      <c r="H248">
        <v>585.47</v>
      </c>
      <c r="I248">
        <v>585.47</v>
      </c>
      <c r="J248">
        <v>70.02</v>
      </c>
    </row>
    <row r="249" spans="1:10" x14ac:dyDescent="0.35">
      <c r="A249" t="s">
        <v>360</v>
      </c>
      <c r="B249" s="1">
        <v>45831</v>
      </c>
      <c r="C249" t="s">
        <v>26</v>
      </c>
      <c r="D249" t="s">
        <v>40</v>
      </c>
      <c r="E249" t="s">
        <v>24</v>
      </c>
      <c r="F249" t="s">
        <v>20</v>
      </c>
      <c r="G249">
        <v>10</v>
      </c>
      <c r="H249">
        <v>123.49</v>
      </c>
      <c r="I249">
        <v>1234.9000000000001</v>
      </c>
      <c r="J249">
        <v>322.06</v>
      </c>
    </row>
    <row r="250" spans="1:10" x14ac:dyDescent="0.35">
      <c r="A250" t="s">
        <v>361</v>
      </c>
      <c r="B250" s="1">
        <v>45835</v>
      </c>
      <c r="C250" t="s">
        <v>237</v>
      </c>
      <c r="D250" t="s">
        <v>40</v>
      </c>
      <c r="E250" t="s">
        <v>24</v>
      </c>
      <c r="F250" t="s">
        <v>14</v>
      </c>
      <c r="G250">
        <v>1</v>
      </c>
      <c r="H250">
        <v>114.89</v>
      </c>
      <c r="I250">
        <v>114.89</v>
      </c>
      <c r="J250">
        <v>11.5</v>
      </c>
    </row>
    <row r="251" spans="1:10" x14ac:dyDescent="0.35">
      <c r="A251" t="s">
        <v>362</v>
      </c>
      <c r="B251" s="1">
        <v>45835</v>
      </c>
      <c r="C251" t="s">
        <v>249</v>
      </c>
      <c r="D251" t="s">
        <v>87</v>
      </c>
      <c r="E251" t="s">
        <v>24</v>
      </c>
      <c r="F251" t="s">
        <v>32</v>
      </c>
      <c r="G251">
        <v>6</v>
      </c>
      <c r="H251">
        <v>137.11000000000001</v>
      </c>
      <c r="I251">
        <v>822.66</v>
      </c>
      <c r="J251">
        <v>188.97</v>
      </c>
    </row>
    <row r="252" spans="1:10" x14ac:dyDescent="0.35">
      <c r="A252" t="s">
        <v>363</v>
      </c>
      <c r="B252" s="1">
        <v>45837</v>
      </c>
      <c r="C252" t="s">
        <v>72</v>
      </c>
      <c r="D252" t="s">
        <v>87</v>
      </c>
      <c r="E252" t="s">
        <v>24</v>
      </c>
      <c r="F252" t="s">
        <v>14</v>
      </c>
      <c r="G252">
        <v>2</v>
      </c>
      <c r="H252">
        <v>79.55</v>
      </c>
      <c r="I252">
        <v>159.1</v>
      </c>
      <c r="J252">
        <v>41.43</v>
      </c>
    </row>
    <row r="253" spans="1:10" x14ac:dyDescent="0.35">
      <c r="A253" t="s">
        <v>364</v>
      </c>
      <c r="B253" s="1">
        <v>45838</v>
      </c>
      <c r="C253" t="s">
        <v>365</v>
      </c>
      <c r="D253" t="s">
        <v>37</v>
      </c>
      <c r="E253" t="s">
        <v>24</v>
      </c>
      <c r="F253" t="s">
        <v>32</v>
      </c>
      <c r="G253">
        <v>4</v>
      </c>
      <c r="H253">
        <v>41.66</v>
      </c>
      <c r="I253">
        <v>166.64</v>
      </c>
      <c r="J253">
        <v>48.11</v>
      </c>
    </row>
    <row r="254" spans="1:10" x14ac:dyDescent="0.35">
      <c r="A254" t="s">
        <v>366</v>
      </c>
      <c r="B254" s="1">
        <v>45838</v>
      </c>
      <c r="C254" t="s">
        <v>62</v>
      </c>
      <c r="D254" t="s">
        <v>23</v>
      </c>
      <c r="E254" t="s">
        <v>24</v>
      </c>
      <c r="F254" t="s">
        <v>32</v>
      </c>
      <c r="G254">
        <v>1</v>
      </c>
      <c r="H254">
        <v>28.06</v>
      </c>
      <c r="I254">
        <v>28.06</v>
      </c>
      <c r="J254">
        <v>3.48</v>
      </c>
    </row>
    <row r="255" spans="1:10" x14ac:dyDescent="0.35">
      <c r="A255" t="s">
        <v>367</v>
      </c>
      <c r="B255" s="1">
        <v>45839</v>
      </c>
      <c r="C255" t="s">
        <v>86</v>
      </c>
      <c r="D255" t="s">
        <v>87</v>
      </c>
      <c r="E255" t="s">
        <v>24</v>
      </c>
      <c r="F255" t="s">
        <v>32</v>
      </c>
      <c r="G255">
        <v>2</v>
      </c>
      <c r="H255">
        <v>30.76</v>
      </c>
      <c r="I255">
        <v>61.52</v>
      </c>
      <c r="J255">
        <v>10.64</v>
      </c>
    </row>
    <row r="256" spans="1:10" x14ac:dyDescent="0.35">
      <c r="A256" t="s">
        <v>368</v>
      </c>
      <c r="B256" s="1">
        <v>45840</v>
      </c>
      <c r="C256" t="s">
        <v>100</v>
      </c>
      <c r="D256" t="s">
        <v>87</v>
      </c>
      <c r="E256" t="s">
        <v>24</v>
      </c>
      <c r="F256" t="s">
        <v>32</v>
      </c>
      <c r="G256">
        <v>3</v>
      </c>
      <c r="H256">
        <v>153.77000000000001</v>
      </c>
      <c r="I256">
        <v>461.31</v>
      </c>
      <c r="J256">
        <v>124.61</v>
      </c>
    </row>
    <row r="257" spans="1:10" x14ac:dyDescent="0.35">
      <c r="A257" t="s">
        <v>369</v>
      </c>
      <c r="B257" s="1">
        <v>45840</v>
      </c>
      <c r="C257" t="s">
        <v>140</v>
      </c>
      <c r="D257" t="s">
        <v>12</v>
      </c>
      <c r="E257" t="s">
        <v>13</v>
      </c>
      <c r="F257" t="s">
        <v>20</v>
      </c>
      <c r="G257">
        <v>8</v>
      </c>
      <c r="H257">
        <v>510.98</v>
      </c>
      <c r="I257">
        <v>4087.84</v>
      </c>
      <c r="J257">
        <v>343.55</v>
      </c>
    </row>
    <row r="258" spans="1:10" x14ac:dyDescent="0.35">
      <c r="A258" t="s">
        <v>370</v>
      </c>
      <c r="B258" s="1">
        <v>45840</v>
      </c>
      <c r="C258" t="s">
        <v>249</v>
      </c>
      <c r="D258" t="s">
        <v>17</v>
      </c>
      <c r="E258" t="s">
        <v>13</v>
      </c>
      <c r="F258" t="s">
        <v>18</v>
      </c>
      <c r="G258">
        <v>4</v>
      </c>
      <c r="H258">
        <v>451.71</v>
      </c>
      <c r="I258">
        <v>1806.84</v>
      </c>
      <c r="J258">
        <v>482.89</v>
      </c>
    </row>
    <row r="259" spans="1:10" x14ac:dyDescent="0.35">
      <c r="A259" t="s">
        <v>371</v>
      </c>
      <c r="B259" s="1">
        <v>45840</v>
      </c>
      <c r="C259" t="s">
        <v>60</v>
      </c>
      <c r="D259" t="s">
        <v>27</v>
      </c>
      <c r="E259" t="s">
        <v>13</v>
      </c>
      <c r="F259" t="s">
        <v>20</v>
      </c>
      <c r="G259">
        <v>10</v>
      </c>
      <c r="H259">
        <v>419.94</v>
      </c>
      <c r="I259">
        <v>4199.3999999999996</v>
      </c>
      <c r="J259">
        <v>905.61</v>
      </c>
    </row>
    <row r="260" spans="1:10" x14ac:dyDescent="0.35">
      <c r="A260" t="s">
        <v>372</v>
      </c>
      <c r="B260" s="1">
        <v>45840</v>
      </c>
      <c r="C260" t="s">
        <v>75</v>
      </c>
      <c r="D260" t="s">
        <v>27</v>
      </c>
      <c r="E260" t="s">
        <v>13</v>
      </c>
      <c r="F260" t="s">
        <v>32</v>
      </c>
      <c r="G260">
        <v>5</v>
      </c>
      <c r="H260">
        <v>151.16999999999999</v>
      </c>
      <c r="I260">
        <v>755.85</v>
      </c>
      <c r="J260">
        <v>195.08</v>
      </c>
    </row>
    <row r="261" spans="1:10" x14ac:dyDescent="0.35">
      <c r="A261" t="s">
        <v>373</v>
      </c>
      <c r="B261" s="1">
        <v>45841</v>
      </c>
      <c r="C261" t="s">
        <v>11</v>
      </c>
      <c r="D261" t="s">
        <v>23</v>
      </c>
      <c r="E261" t="s">
        <v>24</v>
      </c>
      <c r="F261" t="s">
        <v>18</v>
      </c>
      <c r="G261">
        <v>6</v>
      </c>
      <c r="H261">
        <v>27.23</v>
      </c>
      <c r="I261">
        <v>163.38</v>
      </c>
      <c r="J261">
        <v>37.04</v>
      </c>
    </row>
    <row r="262" spans="1:10" x14ac:dyDescent="0.35">
      <c r="A262" t="s">
        <v>374</v>
      </c>
      <c r="B262" s="1">
        <v>45843</v>
      </c>
      <c r="C262" t="s">
        <v>241</v>
      </c>
      <c r="D262" t="s">
        <v>17</v>
      </c>
      <c r="E262" t="s">
        <v>13</v>
      </c>
      <c r="F262" t="s">
        <v>20</v>
      </c>
      <c r="G262">
        <v>7</v>
      </c>
      <c r="H262">
        <v>598.07000000000005</v>
      </c>
      <c r="I262">
        <v>4186.49</v>
      </c>
      <c r="J262">
        <v>504.93</v>
      </c>
    </row>
    <row r="263" spans="1:10" x14ac:dyDescent="0.35">
      <c r="A263" t="s">
        <v>375</v>
      </c>
      <c r="B263" s="1">
        <v>45843</v>
      </c>
      <c r="C263" t="s">
        <v>70</v>
      </c>
      <c r="D263" t="s">
        <v>63</v>
      </c>
      <c r="E263" t="s">
        <v>64</v>
      </c>
      <c r="F263" t="s">
        <v>18</v>
      </c>
      <c r="G263">
        <v>5</v>
      </c>
      <c r="H263">
        <v>118.06</v>
      </c>
      <c r="I263">
        <v>590.29999999999995</v>
      </c>
      <c r="J263">
        <v>140.13999999999999</v>
      </c>
    </row>
    <row r="264" spans="1:10" x14ac:dyDescent="0.35">
      <c r="A264" t="s">
        <v>376</v>
      </c>
      <c r="B264" s="1">
        <v>45843</v>
      </c>
      <c r="C264" t="s">
        <v>202</v>
      </c>
      <c r="D264" t="s">
        <v>17</v>
      </c>
      <c r="E264" t="s">
        <v>13</v>
      </c>
      <c r="F264" t="s">
        <v>20</v>
      </c>
      <c r="G264">
        <v>2</v>
      </c>
      <c r="H264">
        <v>264.25</v>
      </c>
      <c r="I264">
        <v>528.5</v>
      </c>
      <c r="J264">
        <v>93.23</v>
      </c>
    </row>
    <row r="265" spans="1:10" x14ac:dyDescent="0.35">
      <c r="A265" t="s">
        <v>377</v>
      </c>
      <c r="B265" s="1">
        <v>45845</v>
      </c>
      <c r="C265" t="s">
        <v>26</v>
      </c>
      <c r="D265" t="s">
        <v>23</v>
      </c>
      <c r="E265" t="s">
        <v>24</v>
      </c>
      <c r="F265" t="s">
        <v>20</v>
      </c>
      <c r="G265">
        <v>3</v>
      </c>
      <c r="H265">
        <v>96.97</v>
      </c>
      <c r="I265">
        <v>290.91000000000003</v>
      </c>
      <c r="J265">
        <v>86.07</v>
      </c>
    </row>
    <row r="266" spans="1:10" x14ac:dyDescent="0.35">
      <c r="A266" t="s">
        <v>378</v>
      </c>
      <c r="B266" s="1">
        <v>45845</v>
      </c>
      <c r="C266" t="s">
        <v>138</v>
      </c>
      <c r="D266" t="s">
        <v>23</v>
      </c>
      <c r="E266" t="s">
        <v>24</v>
      </c>
      <c r="F266" t="s">
        <v>18</v>
      </c>
      <c r="G266">
        <v>2</v>
      </c>
      <c r="H266">
        <v>93.5</v>
      </c>
      <c r="I266">
        <v>187</v>
      </c>
      <c r="J266">
        <v>54.11</v>
      </c>
    </row>
    <row r="267" spans="1:10" x14ac:dyDescent="0.35">
      <c r="A267" t="s">
        <v>379</v>
      </c>
      <c r="B267" s="1">
        <v>45845</v>
      </c>
      <c r="C267" t="s">
        <v>170</v>
      </c>
      <c r="D267" t="s">
        <v>17</v>
      </c>
      <c r="E267" t="s">
        <v>13</v>
      </c>
      <c r="F267" t="s">
        <v>18</v>
      </c>
      <c r="G267">
        <v>6</v>
      </c>
      <c r="H267">
        <v>208.54</v>
      </c>
      <c r="I267">
        <v>1251.24</v>
      </c>
      <c r="J267">
        <v>284.56</v>
      </c>
    </row>
    <row r="268" spans="1:10" x14ac:dyDescent="0.35">
      <c r="A268" t="s">
        <v>380</v>
      </c>
      <c r="B268" s="1">
        <v>45845</v>
      </c>
      <c r="C268" t="s">
        <v>100</v>
      </c>
      <c r="D268" t="s">
        <v>37</v>
      </c>
      <c r="E268" t="s">
        <v>24</v>
      </c>
      <c r="F268" t="s">
        <v>20</v>
      </c>
      <c r="G268">
        <v>2</v>
      </c>
      <c r="H268">
        <v>33.1</v>
      </c>
      <c r="I268">
        <v>66.2</v>
      </c>
      <c r="J268">
        <v>10.74</v>
      </c>
    </row>
    <row r="269" spans="1:10" x14ac:dyDescent="0.35">
      <c r="A269" t="s">
        <v>381</v>
      </c>
      <c r="B269" s="1">
        <v>45846</v>
      </c>
      <c r="C269" t="s">
        <v>134</v>
      </c>
      <c r="D269" t="s">
        <v>37</v>
      </c>
      <c r="E269" t="s">
        <v>24</v>
      </c>
      <c r="F269" t="s">
        <v>14</v>
      </c>
      <c r="G269">
        <v>9</v>
      </c>
      <c r="H269">
        <v>57.93</v>
      </c>
      <c r="I269">
        <v>521.37</v>
      </c>
      <c r="J269">
        <v>149.63</v>
      </c>
    </row>
    <row r="270" spans="1:10" x14ac:dyDescent="0.35">
      <c r="A270" t="s">
        <v>382</v>
      </c>
      <c r="B270" s="1">
        <v>45847</v>
      </c>
      <c r="C270" t="s">
        <v>108</v>
      </c>
      <c r="D270" t="s">
        <v>27</v>
      </c>
      <c r="E270" t="s">
        <v>13</v>
      </c>
      <c r="F270" t="s">
        <v>32</v>
      </c>
      <c r="G270">
        <v>5</v>
      </c>
      <c r="H270">
        <v>230.16</v>
      </c>
      <c r="I270">
        <v>1150.8</v>
      </c>
      <c r="J270">
        <v>337.01</v>
      </c>
    </row>
    <row r="271" spans="1:10" x14ac:dyDescent="0.35">
      <c r="A271" t="s">
        <v>383</v>
      </c>
      <c r="B271" s="1">
        <v>45847</v>
      </c>
      <c r="C271" t="s">
        <v>72</v>
      </c>
      <c r="D271" t="s">
        <v>12</v>
      </c>
      <c r="E271" t="s">
        <v>13</v>
      </c>
      <c r="F271" t="s">
        <v>14</v>
      </c>
      <c r="G271">
        <v>6</v>
      </c>
      <c r="H271">
        <v>1389.86</v>
      </c>
      <c r="I271">
        <v>8339.16</v>
      </c>
      <c r="J271">
        <v>1097.67</v>
      </c>
    </row>
    <row r="272" spans="1:10" x14ac:dyDescent="0.35">
      <c r="A272" t="s">
        <v>384</v>
      </c>
      <c r="B272" s="1">
        <v>45847</v>
      </c>
      <c r="C272" t="s">
        <v>31</v>
      </c>
      <c r="D272" t="s">
        <v>37</v>
      </c>
      <c r="E272" t="s">
        <v>24</v>
      </c>
      <c r="F272" t="s">
        <v>18</v>
      </c>
      <c r="G272">
        <v>10</v>
      </c>
      <c r="H272">
        <v>56.68</v>
      </c>
      <c r="I272">
        <v>566.79999999999995</v>
      </c>
      <c r="J272">
        <v>73.849999999999994</v>
      </c>
    </row>
    <row r="273" spans="1:10" x14ac:dyDescent="0.35">
      <c r="A273" t="s">
        <v>385</v>
      </c>
      <c r="B273" s="1">
        <v>45848</v>
      </c>
      <c r="C273" t="s">
        <v>46</v>
      </c>
      <c r="D273" t="s">
        <v>27</v>
      </c>
      <c r="E273" t="s">
        <v>13</v>
      </c>
      <c r="F273" t="s">
        <v>32</v>
      </c>
      <c r="G273">
        <v>2</v>
      </c>
      <c r="H273">
        <v>186.02</v>
      </c>
      <c r="I273">
        <v>372.04</v>
      </c>
      <c r="J273">
        <v>88.85</v>
      </c>
    </row>
    <row r="274" spans="1:10" x14ac:dyDescent="0.35">
      <c r="A274" t="s">
        <v>386</v>
      </c>
      <c r="B274" s="1">
        <v>45848</v>
      </c>
      <c r="C274" t="s">
        <v>167</v>
      </c>
      <c r="D274" t="s">
        <v>23</v>
      </c>
      <c r="E274" t="s">
        <v>24</v>
      </c>
      <c r="F274" t="s">
        <v>32</v>
      </c>
      <c r="G274">
        <v>9</v>
      </c>
      <c r="H274">
        <v>25.46</v>
      </c>
      <c r="I274">
        <v>229.14</v>
      </c>
      <c r="J274">
        <v>35.9</v>
      </c>
    </row>
    <row r="275" spans="1:10" x14ac:dyDescent="0.35">
      <c r="A275" t="s">
        <v>387</v>
      </c>
      <c r="B275" s="1">
        <v>45848</v>
      </c>
      <c r="C275" t="s">
        <v>100</v>
      </c>
      <c r="D275" t="s">
        <v>12</v>
      </c>
      <c r="E275" t="s">
        <v>13</v>
      </c>
      <c r="F275" t="s">
        <v>32</v>
      </c>
      <c r="G275">
        <v>3</v>
      </c>
      <c r="H275">
        <v>1211.08</v>
      </c>
      <c r="I275">
        <v>3633.24</v>
      </c>
      <c r="J275">
        <v>389.95</v>
      </c>
    </row>
    <row r="276" spans="1:10" x14ac:dyDescent="0.35">
      <c r="A276" t="s">
        <v>388</v>
      </c>
      <c r="B276" s="1">
        <v>45849</v>
      </c>
      <c r="C276" t="s">
        <v>104</v>
      </c>
      <c r="D276" t="s">
        <v>12</v>
      </c>
      <c r="E276" t="s">
        <v>13</v>
      </c>
      <c r="F276" t="s">
        <v>20</v>
      </c>
      <c r="G276">
        <v>10</v>
      </c>
      <c r="H276">
        <v>1022.68</v>
      </c>
      <c r="I276">
        <v>10226.799999999999</v>
      </c>
      <c r="J276">
        <v>2550.44</v>
      </c>
    </row>
    <row r="277" spans="1:10" x14ac:dyDescent="0.35">
      <c r="A277" t="s">
        <v>389</v>
      </c>
      <c r="B277" s="1">
        <v>45849</v>
      </c>
      <c r="C277" t="s">
        <v>89</v>
      </c>
      <c r="D277" t="s">
        <v>37</v>
      </c>
      <c r="E277" t="s">
        <v>24</v>
      </c>
      <c r="F277" t="s">
        <v>32</v>
      </c>
      <c r="G277">
        <v>4</v>
      </c>
      <c r="H277">
        <v>20.28</v>
      </c>
      <c r="I277">
        <v>81.12</v>
      </c>
      <c r="J277">
        <v>17.079999999999998</v>
      </c>
    </row>
    <row r="278" spans="1:10" x14ac:dyDescent="0.35">
      <c r="A278" t="s">
        <v>390</v>
      </c>
      <c r="B278" s="1">
        <v>45849</v>
      </c>
      <c r="C278" t="s">
        <v>26</v>
      </c>
      <c r="D278" t="s">
        <v>12</v>
      </c>
      <c r="E278" t="s">
        <v>13</v>
      </c>
      <c r="F278" t="s">
        <v>32</v>
      </c>
      <c r="G278">
        <v>1</v>
      </c>
      <c r="H278">
        <v>531.38</v>
      </c>
      <c r="I278">
        <v>531.38</v>
      </c>
      <c r="J278">
        <v>95.92</v>
      </c>
    </row>
    <row r="279" spans="1:10" x14ac:dyDescent="0.35">
      <c r="A279" t="s">
        <v>391</v>
      </c>
      <c r="B279" s="1">
        <v>45853</v>
      </c>
      <c r="C279" t="s">
        <v>319</v>
      </c>
      <c r="D279" t="s">
        <v>17</v>
      </c>
      <c r="E279" t="s">
        <v>13</v>
      </c>
      <c r="F279" t="s">
        <v>18</v>
      </c>
      <c r="G279">
        <v>10</v>
      </c>
      <c r="H279">
        <v>297.17</v>
      </c>
      <c r="I279">
        <v>2971.7</v>
      </c>
      <c r="J279">
        <v>238.47</v>
      </c>
    </row>
    <row r="280" spans="1:10" x14ac:dyDescent="0.35">
      <c r="A280" t="s">
        <v>392</v>
      </c>
      <c r="B280" s="1">
        <v>45853</v>
      </c>
      <c r="C280" t="s">
        <v>271</v>
      </c>
      <c r="D280" t="s">
        <v>12</v>
      </c>
      <c r="E280" t="s">
        <v>13</v>
      </c>
      <c r="F280" t="s">
        <v>32</v>
      </c>
      <c r="G280">
        <v>10</v>
      </c>
      <c r="H280">
        <v>569.59</v>
      </c>
      <c r="I280">
        <v>5695.9</v>
      </c>
      <c r="J280">
        <v>1627.57</v>
      </c>
    </row>
    <row r="281" spans="1:10" x14ac:dyDescent="0.35">
      <c r="A281" t="s">
        <v>393</v>
      </c>
      <c r="B281" s="1">
        <v>45855</v>
      </c>
      <c r="C281" t="s">
        <v>394</v>
      </c>
      <c r="D281" t="s">
        <v>23</v>
      </c>
      <c r="E281" t="s">
        <v>24</v>
      </c>
      <c r="F281" t="s">
        <v>32</v>
      </c>
      <c r="G281">
        <v>10</v>
      </c>
      <c r="H281">
        <v>37.31</v>
      </c>
      <c r="I281">
        <v>373.1</v>
      </c>
      <c r="J281">
        <v>59.97</v>
      </c>
    </row>
    <row r="282" spans="1:10" x14ac:dyDescent="0.35">
      <c r="A282" t="s">
        <v>395</v>
      </c>
      <c r="B282" s="1">
        <v>45855</v>
      </c>
      <c r="C282" t="s">
        <v>60</v>
      </c>
      <c r="D282" t="s">
        <v>17</v>
      </c>
      <c r="E282" t="s">
        <v>13</v>
      </c>
      <c r="F282" t="s">
        <v>32</v>
      </c>
      <c r="G282">
        <v>3</v>
      </c>
      <c r="H282">
        <v>639.78</v>
      </c>
      <c r="I282">
        <v>1919.34</v>
      </c>
      <c r="J282">
        <v>213.41</v>
      </c>
    </row>
    <row r="283" spans="1:10" x14ac:dyDescent="0.35">
      <c r="A283" t="s">
        <v>396</v>
      </c>
      <c r="B283" s="1">
        <v>45855</v>
      </c>
      <c r="C283" t="s">
        <v>152</v>
      </c>
      <c r="D283" t="s">
        <v>87</v>
      </c>
      <c r="E283" t="s">
        <v>24</v>
      </c>
      <c r="F283" t="s">
        <v>14</v>
      </c>
      <c r="G283">
        <v>8</v>
      </c>
      <c r="H283">
        <v>173.46</v>
      </c>
      <c r="I283">
        <v>1387.68</v>
      </c>
      <c r="J283">
        <v>173.96</v>
      </c>
    </row>
    <row r="284" spans="1:10" x14ac:dyDescent="0.35">
      <c r="A284" t="s">
        <v>397</v>
      </c>
      <c r="B284" s="1">
        <v>45857</v>
      </c>
      <c r="C284" t="s">
        <v>86</v>
      </c>
      <c r="D284" t="s">
        <v>63</v>
      </c>
      <c r="E284" t="s">
        <v>64</v>
      </c>
      <c r="F284" t="s">
        <v>20</v>
      </c>
      <c r="G284">
        <v>9</v>
      </c>
      <c r="H284">
        <v>177.03</v>
      </c>
      <c r="I284">
        <v>1593.27</v>
      </c>
      <c r="J284">
        <v>198.82</v>
      </c>
    </row>
    <row r="285" spans="1:10" x14ac:dyDescent="0.35">
      <c r="A285" t="s">
        <v>398</v>
      </c>
      <c r="B285" s="1">
        <v>45857</v>
      </c>
      <c r="C285" t="s">
        <v>167</v>
      </c>
      <c r="D285" t="s">
        <v>12</v>
      </c>
      <c r="E285" t="s">
        <v>13</v>
      </c>
      <c r="F285" t="s">
        <v>20</v>
      </c>
      <c r="G285">
        <v>3</v>
      </c>
      <c r="H285">
        <v>778.94</v>
      </c>
      <c r="I285">
        <v>2336.8200000000002</v>
      </c>
      <c r="J285">
        <v>466.26</v>
      </c>
    </row>
    <row r="286" spans="1:10" x14ac:dyDescent="0.35">
      <c r="A286" t="s">
        <v>399</v>
      </c>
      <c r="B286" s="1">
        <v>45859</v>
      </c>
      <c r="C286" t="s">
        <v>89</v>
      </c>
      <c r="D286" t="s">
        <v>12</v>
      </c>
      <c r="E286" t="s">
        <v>13</v>
      </c>
      <c r="F286" t="s">
        <v>14</v>
      </c>
      <c r="G286">
        <v>10</v>
      </c>
      <c r="H286">
        <v>879.59</v>
      </c>
      <c r="I286">
        <v>8795.9</v>
      </c>
      <c r="J286">
        <v>1025.54</v>
      </c>
    </row>
    <row r="287" spans="1:10" x14ac:dyDescent="0.35">
      <c r="A287" t="s">
        <v>400</v>
      </c>
      <c r="B287" s="1">
        <v>45860</v>
      </c>
      <c r="C287" t="s">
        <v>233</v>
      </c>
      <c r="D287" t="s">
        <v>12</v>
      </c>
      <c r="E287" t="s">
        <v>13</v>
      </c>
      <c r="F287" t="s">
        <v>14</v>
      </c>
      <c r="G287">
        <v>1</v>
      </c>
      <c r="H287">
        <v>1233.55</v>
      </c>
      <c r="I287">
        <v>1233.55</v>
      </c>
      <c r="J287">
        <v>297.58</v>
      </c>
    </row>
    <row r="288" spans="1:10" x14ac:dyDescent="0.35">
      <c r="A288" t="s">
        <v>401</v>
      </c>
      <c r="B288" s="1">
        <v>45860</v>
      </c>
      <c r="C288" t="s">
        <v>156</v>
      </c>
      <c r="D288" t="s">
        <v>63</v>
      </c>
      <c r="E288" t="s">
        <v>64</v>
      </c>
      <c r="F288" t="s">
        <v>18</v>
      </c>
      <c r="G288">
        <v>1</v>
      </c>
      <c r="H288">
        <v>157.93</v>
      </c>
      <c r="I288">
        <v>157.93</v>
      </c>
      <c r="J288">
        <v>29.77</v>
      </c>
    </row>
    <row r="289" spans="1:10" x14ac:dyDescent="0.35">
      <c r="A289" t="s">
        <v>402</v>
      </c>
      <c r="B289" s="1">
        <v>45863</v>
      </c>
      <c r="C289" t="s">
        <v>11</v>
      </c>
      <c r="D289" t="s">
        <v>17</v>
      </c>
      <c r="E289" t="s">
        <v>13</v>
      </c>
      <c r="F289" t="s">
        <v>18</v>
      </c>
      <c r="G289">
        <v>9</v>
      </c>
      <c r="H289">
        <v>562.85</v>
      </c>
      <c r="I289">
        <v>5065.6499999999996</v>
      </c>
      <c r="J289">
        <v>469.8</v>
      </c>
    </row>
    <row r="290" spans="1:10" x14ac:dyDescent="0.35">
      <c r="A290" t="s">
        <v>403</v>
      </c>
      <c r="B290" s="1">
        <v>45866</v>
      </c>
      <c r="C290" t="s">
        <v>277</v>
      </c>
      <c r="D290" t="s">
        <v>17</v>
      </c>
      <c r="E290" t="s">
        <v>13</v>
      </c>
      <c r="F290" t="s">
        <v>18</v>
      </c>
      <c r="G290">
        <v>6</v>
      </c>
      <c r="H290">
        <v>225.09</v>
      </c>
      <c r="I290">
        <v>1350.54</v>
      </c>
      <c r="J290">
        <v>359.75</v>
      </c>
    </row>
    <row r="291" spans="1:10" x14ac:dyDescent="0.35">
      <c r="A291" t="s">
        <v>404</v>
      </c>
      <c r="B291" s="1">
        <v>45868</v>
      </c>
      <c r="C291" t="s">
        <v>140</v>
      </c>
      <c r="D291" t="s">
        <v>37</v>
      </c>
      <c r="E291" t="s">
        <v>24</v>
      </c>
      <c r="F291" t="s">
        <v>14</v>
      </c>
      <c r="G291">
        <v>1</v>
      </c>
      <c r="H291">
        <v>29.2</v>
      </c>
      <c r="I291">
        <v>29.2</v>
      </c>
      <c r="J291">
        <v>6.43</v>
      </c>
    </row>
    <row r="292" spans="1:10" x14ac:dyDescent="0.35">
      <c r="A292" t="s">
        <v>405</v>
      </c>
      <c r="B292" s="1">
        <v>45868</v>
      </c>
      <c r="C292" t="s">
        <v>46</v>
      </c>
      <c r="D292" t="s">
        <v>37</v>
      </c>
      <c r="E292" t="s">
        <v>24</v>
      </c>
      <c r="F292" t="s">
        <v>14</v>
      </c>
      <c r="G292">
        <v>5</v>
      </c>
      <c r="H292">
        <v>36.72</v>
      </c>
      <c r="I292">
        <v>183.6</v>
      </c>
      <c r="J292">
        <v>33.5</v>
      </c>
    </row>
    <row r="293" spans="1:10" x14ac:dyDescent="0.35">
      <c r="A293" t="s">
        <v>406</v>
      </c>
      <c r="B293" s="1">
        <v>45868</v>
      </c>
      <c r="C293" t="s">
        <v>269</v>
      </c>
      <c r="D293" t="s">
        <v>27</v>
      </c>
      <c r="E293" t="s">
        <v>13</v>
      </c>
      <c r="F293" t="s">
        <v>18</v>
      </c>
      <c r="G293">
        <v>3</v>
      </c>
      <c r="H293">
        <v>376.33</v>
      </c>
      <c r="I293">
        <v>1128.99</v>
      </c>
      <c r="J293">
        <v>226.78</v>
      </c>
    </row>
    <row r="294" spans="1:10" x14ac:dyDescent="0.35">
      <c r="A294" t="s">
        <v>407</v>
      </c>
      <c r="B294" s="1">
        <v>45870</v>
      </c>
      <c r="C294" t="s">
        <v>152</v>
      </c>
      <c r="D294" t="s">
        <v>23</v>
      </c>
      <c r="E294" t="s">
        <v>24</v>
      </c>
      <c r="F294" t="s">
        <v>18</v>
      </c>
      <c r="G294">
        <v>1</v>
      </c>
      <c r="H294">
        <v>88.89</v>
      </c>
      <c r="I294">
        <v>88.89</v>
      </c>
      <c r="J294">
        <v>8.1199999999999992</v>
      </c>
    </row>
    <row r="295" spans="1:10" x14ac:dyDescent="0.35">
      <c r="A295" t="s">
        <v>408</v>
      </c>
      <c r="B295" s="1">
        <v>45870</v>
      </c>
      <c r="C295" t="s">
        <v>409</v>
      </c>
      <c r="D295" t="s">
        <v>27</v>
      </c>
      <c r="E295" t="s">
        <v>13</v>
      </c>
      <c r="F295" t="s">
        <v>14</v>
      </c>
      <c r="G295">
        <v>8</v>
      </c>
      <c r="H295">
        <v>371.58</v>
      </c>
      <c r="I295">
        <v>2972.64</v>
      </c>
      <c r="J295">
        <v>397.48</v>
      </c>
    </row>
    <row r="296" spans="1:10" x14ac:dyDescent="0.35">
      <c r="A296" t="s">
        <v>410</v>
      </c>
      <c r="B296" s="1">
        <v>45870</v>
      </c>
      <c r="C296" t="s">
        <v>178</v>
      </c>
      <c r="D296" t="s">
        <v>17</v>
      </c>
      <c r="E296" t="s">
        <v>13</v>
      </c>
      <c r="F296" t="s">
        <v>32</v>
      </c>
      <c r="G296">
        <v>5</v>
      </c>
      <c r="H296">
        <v>499.77</v>
      </c>
      <c r="I296">
        <v>2498.85</v>
      </c>
      <c r="J296">
        <v>396.61</v>
      </c>
    </row>
    <row r="297" spans="1:10" x14ac:dyDescent="0.35">
      <c r="A297" t="s">
        <v>411</v>
      </c>
      <c r="B297" s="1">
        <v>45870</v>
      </c>
      <c r="C297" t="s">
        <v>84</v>
      </c>
      <c r="D297" t="s">
        <v>63</v>
      </c>
      <c r="E297" t="s">
        <v>64</v>
      </c>
      <c r="F297" t="s">
        <v>18</v>
      </c>
      <c r="G297">
        <v>1</v>
      </c>
      <c r="H297">
        <v>148.69</v>
      </c>
      <c r="I297">
        <v>148.69</v>
      </c>
      <c r="J297">
        <v>43.87</v>
      </c>
    </row>
    <row r="298" spans="1:10" x14ac:dyDescent="0.35">
      <c r="A298" t="s">
        <v>412</v>
      </c>
      <c r="B298" s="1">
        <v>45870</v>
      </c>
      <c r="C298" t="s">
        <v>260</v>
      </c>
      <c r="D298" t="s">
        <v>12</v>
      </c>
      <c r="E298" t="s">
        <v>13</v>
      </c>
      <c r="F298" t="s">
        <v>32</v>
      </c>
      <c r="G298">
        <v>9</v>
      </c>
      <c r="H298">
        <v>964.47</v>
      </c>
      <c r="I298">
        <v>8680.23</v>
      </c>
      <c r="J298">
        <v>2102.1799999999998</v>
      </c>
    </row>
    <row r="299" spans="1:10" x14ac:dyDescent="0.35">
      <c r="A299" t="s">
        <v>413</v>
      </c>
      <c r="B299" s="1">
        <v>45871</v>
      </c>
      <c r="C299" t="s">
        <v>414</v>
      </c>
      <c r="D299" t="s">
        <v>12</v>
      </c>
      <c r="E299" t="s">
        <v>13</v>
      </c>
      <c r="F299" t="s">
        <v>32</v>
      </c>
      <c r="G299">
        <v>3</v>
      </c>
      <c r="H299">
        <v>749.83</v>
      </c>
      <c r="I299">
        <v>2249.4899999999998</v>
      </c>
      <c r="J299">
        <v>387.02</v>
      </c>
    </row>
    <row r="300" spans="1:10" x14ac:dyDescent="0.35">
      <c r="A300" t="s">
        <v>415</v>
      </c>
      <c r="B300" s="1">
        <v>45873</v>
      </c>
      <c r="C300" t="s">
        <v>167</v>
      </c>
      <c r="D300" t="s">
        <v>40</v>
      </c>
      <c r="E300" t="s">
        <v>24</v>
      </c>
      <c r="F300" t="s">
        <v>20</v>
      </c>
      <c r="G300">
        <v>9</v>
      </c>
      <c r="H300">
        <v>157.01</v>
      </c>
      <c r="I300">
        <v>1413.09</v>
      </c>
      <c r="J300">
        <v>374.22</v>
      </c>
    </row>
    <row r="301" spans="1:10" x14ac:dyDescent="0.35">
      <c r="A301" t="s">
        <v>416</v>
      </c>
      <c r="B301" s="1">
        <v>45873</v>
      </c>
      <c r="C301" t="s">
        <v>417</v>
      </c>
      <c r="D301" t="s">
        <v>23</v>
      </c>
      <c r="E301" t="s">
        <v>24</v>
      </c>
      <c r="F301" t="s">
        <v>18</v>
      </c>
      <c r="G301">
        <v>5</v>
      </c>
      <c r="H301">
        <v>55.28</v>
      </c>
      <c r="I301">
        <v>276.39999999999998</v>
      </c>
      <c r="J301">
        <v>29.6</v>
      </c>
    </row>
    <row r="302" spans="1:10" x14ac:dyDescent="0.35">
      <c r="A302" t="s">
        <v>418</v>
      </c>
      <c r="B302" s="1">
        <v>45874</v>
      </c>
      <c r="C302" t="s">
        <v>96</v>
      </c>
      <c r="D302" t="s">
        <v>63</v>
      </c>
      <c r="E302" t="s">
        <v>64</v>
      </c>
      <c r="F302" t="s">
        <v>14</v>
      </c>
      <c r="G302">
        <v>5</v>
      </c>
      <c r="H302">
        <v>352.28</v>
      </c>
      <c r="I302">
        <v>1761.4</v>
      </c>
      <c r="J302">
        <v>294.62</v>
      </c>
    </row>
    <row r="303" spans="1:10" x14ac:dyDescent="0.35">
      <c r="A303" t="s">
        <v>419</v>
      </c>
      <c r="B303" s="1">
        <v>45876</v>
      </c>
      <c r="C303" t="s">
        <v>56</v>
      </c>
      <c r="D303" t="s">
        <v>63</v>
      </c>
      <c r="E303" t="s">
        <v>64</v>
      </c>
      <c r="F303" t="s">
        <v>14</v>
      </c>
      <c r="G303">
        <v>2</v>
      </c>
      <c r="H303">
        <v>297.93</v>
      </c>
      <c r="I303">
        <v>595.86</v>
      </c>
      <c r="J303">
        <v>75.239999999999995</v>
      </c>
    </row>
    <row r="304" spans="1:10" x14ac:dyDescent="0.35">
      <c r="A304" t="s">
        <v>420</v>
      </c>
      <c r="B304" s="1">
        <v>45876</v>
      </c>
      <c r="C304" t="s">
        <v>108</v>
      </c>
      <c r="D304" t="s">
        <v>23</v>
      </c>
      <c r="E304" t="s">
        <v>24</v>
      </c>
      <c r="F304" t="s">
        <v>32</v>
      </c>
      <c r="G304">
        <v>2</v>
      </c>
      <c r="H304">
        <v>20.190000000000001</v>
      </c>
      <c r="I304">
        <v>40.380000000000003</v>
      </c>
      <c r="J304">
        <v>8.08</v>
      </c>
    </row>
    <row r="305" spans="1:10" x14ac:dyDescent="0.35">
      <c r="A305" t="s">
        <v>421</v>
      </c>
      <c r="B305" s="1">
        <v>45877</v>
      </c>
      <c r="C305" t="s">
        <v>205</v>
      </c>
      <c r="D305" t="s">
        <v>12</v>
      </c>
      <c r="E305" t="s">
        <v>13</v>
      </c>
      <c r="F305" t="s">
        <v>20</v>
      </c>
      <c r="G305">
        <v>1</v>
      </c>
      <c r="H305">
        <v>1160.52</v>
      </c>
      <c r="I305">
        <v>1160.52</v>
      </c>
      <c r="J305">
        <v>294</v>
      </c>
    </row>
    <row r="306" spans="1:10" x14ac:dyDescent="0.35">
      <c r="A306" t="s">
        <v>422</v>
      </c>
      <c r="B306" s="1">
        <v>45877</v>
      </c>
      <c r="C306" t="s">
        <v>31</v>
      </c>
      <c r="D306" t="s">
        <v>12</v>
      </c>
      <c r="E306" t="s">
        <v>13</v>
      </c>
      <c r="F306" t="s">
        <v>18</v>
      </c>
      <c r="G306">
        <v>2</v>
      </c>
      <c r="H306">
        <v>1381.04</v>
      </c>
      <c r="I306">
        <v>2762.08</v>
      </c>
      <c r="J306">
        <v>280.14999999999998</v>
      </c>
    </row>
    <row r="307" spans="1:10" x14ac:dyDescent="0.35">
      <c r="A307" t="s">
        <v>423</v>
      </c>
      <c r="B307" s="1">
        <v>45877</v>
      </c>
      <c r="C307" t="s">
        <v>91</v>
      </c>
      <c r="D307" t="s">
        <v>23</v>
      </c>
      <c r="E307" t="s">
        <v>24</v>
      </c>
      <c r="F307" t="s">
        <v>32</v>
      </c>
      <c r="G307">
        <v>10</v>
      </c>
      <c r="H307">
        <v>63.5</v>
      </c>
      <c r="I307">
        <v>635</v>
      </c>
      <c r="J307">
        <v>63.78</v>
      </c>
    </row>
    <row r="308" spans="1:10" x14ac:dyDescent="0.35">
      <c r="A308" t="s">
        <v>424</v>
      </c>
      <c r="B308" s="1">
        <v>45878</v>
      </c>
      <c r="C308" t="s">
        <v>91</v>
      </c>
      <c r="D308" t="s">
        <v>63</v>
      </c>
      <c r="E308" t="s">
        <v>64</v>
      </c>
      <c r="F308" t="s">
        <v>14</v>
      </c>
      <c r="G308">
        <v>2</v>
      </c>
      <c r="H308">
        <v>216.25</v>
      </c>
      <c r="I308">
        <v>432.5</v>
      </c>
      <c r="J308">
        <v>109.18</v>
      </c>
    </row>
    <row r="309" spans="1:10" x14ac:dyDescent="0.35">
      <c r="A309" t="s">
        <v>425</v>
      </c>
      <c r="B309" s="1">
        <v>45878</v>
      </c>
      <c r="C309" t="s">
        <v>44</v>
      </c>
      <c r="D309" t="s">
        <v>63</v>
      </c>
      <c r="E309" t="s">
        <v>64</v>
      </c>
      <c r="F309" t="s">
        <v>18</v>
      </c>
      <c r="G309">
        <v>1</v>
      </c>
      <c r="H309">
        <v>268.37</v>
      </c>
      <c r="I309">
        <v>268.37</v>
      </c>
      <c r="J309">
        <v>79.14</v>
      </c>
    </row>
    <row r="310" spans="1:10" x14ac:dyDescent="0.35">
      <c r="A310" t="s">
        <v>426</v>
      </c>
      <c r="B310" s="1">
        <v>45878</v>
      </c>
      <c r="C310" t="s">
        <v>16</v>
      </c>
      <c r="D310" t="s">
        <v>37</v>
      </c>
      <c r="E310" t="s">
        <v>24</v>
      </c>
      <c r="F310" t="s">
        <v>20</v>
      </c>
      <c r="G310">
        <v>5</v>
      </c>
      <c r="H310">
        <v>45.35</v>
      </c>
      <c r="I310">
        <v>226.75</v>
      </c>
      <c r="J310">
        <v>39.75</v>
      </c>
    </row>
    <row r="311" spans="1:10" x14ac:dyDescent="0.35">
      <c r="A311" t="s">
        <v>427</v>
      </c>
      <c r="B311" s="1">
        <v>45879</v>
      </c>
      <c r="C311" t="s">
        <v>237</v>
      </c>
      <c r="D311" t="s">
        <v>12</v>
      </c>
      <c r="E311" t="s">
        <v>13</v>
      </c>
      <c r="F311" t="s">
        <v>18</v>
      </c>
      <c r="G311">
        <v>6</v>
      </c>
      <c r="H311">
        <v>923.96</v>
      </c>
      <c r="I311">
        <v>5543.76</v>
      </c>
      <c r="J311">
        <v>1282.8599999999999</v>
      </c>
    </row>
    <row r="312" spans="1:10" x14ac:dyDescent="0.35">
      <c r="A312" t="s">
        <v>428</v>
      </c>
      <c r="B312" s="1">
        <v>45880</v>
      </c>
      <c r="C312" t="s">
        <v>253</v>
      </c>
      <c r="D312" t="s">
        <v>37</v>
      </c>
      <c r="E312" t="s">
        <v>24</v>
      </c>
      <c r="F312" t="s">
        <v>18</v>
      </c>
      <c r="G312">
        <v>5</v>
      </c>
      <c r="H312">
        <v>41.86</v>
      </c>
      <c r="I312">
        <v>209.3</v>
      </c>
      <c r="J312">
        <v>28.07</v>
      </c>
    </row>
    <row r="313" spans="1:10" x14ac:dyDescent="0.35">
      <c r="A313" t="s">
        <v>429</v>
      </c>
      <c r="B313" s="1">
        <v>45880</v>
      </c>
      <c r="C313" t="s">
        <v>186</v>
      </c>
      <c r="D313" t="s">
        <v>40</v>
      </c>
      <c r="E313" t="s">
        <v>24</v>
      </c>
      <c r="F313" t="s">
        <v>32</v>
      </c>
      <c r="G313">
        <v>10</v>
      </c>
      <c r="H313">
        <v>144.04</v>
      </c>
      <c r="I313">
        <v>1440.4</v>
      </c>
      <c r="J313">
        <v>303.12</v>
      </c>
    </row>
    <row r="314" spans="1:10" x14ac:dyDescent="0.35">
      <c r="A314" t="s">
        <v>430</v>
      </c>
      <c r="B314" s="1">
        <v>45881</v>
      </c>
      <c r="C314" t="s">
        <v>260</v>
      </c>
      <c r="D314" t="s">
        <v>23</v>
      </c>
      <c r="E314" t="s">
        <v>24</v>
      </c>
      <c r="F314" t="s">
        <v>18</v>
      </c>
      <c r="G314">
        <v>1</v>
      </c>
      <c r="H314">
        <v>62.37</v>
      </c>
      <c r="I314">
        <v>62.37</v>
      </c>
      <c r="J314">
        <v>17.89</v>
      </c>
    </row>
    <row r="315" spans="1:10" x14ac:dyDescent="0.35">
      <c r="A315" t="s">
        <v>431</v>
      </c>
      <c r="B315" s="1">
        <v>45881</v>
      </c>
      <c r="C315" t="s">
        <v>218</v>
      </c>
      <c r="D315" t="s">
        <v>23</v>
      </c>
      <c r="E315" t="s">
        <v>24</v>
      </c>
      <c r="F315" t="s">
        <v>18</v>
      </c>
      <c r="G315">
        <v>1</v>
      </c>
      <c r="H315">
        <v>48.12</v>
      </c>
      <c r="I315">
        <v>48.12</v>
      </c>
      <c r="J315">
        <v>7.33</v>
      </c>
    </row>
    <row r="316" spans="1:10" x14ac:dyDescent="0.35">
      <c r="A316" t="s">
        <v>432</v>
      </c>
      <c r="B316" s="1">
        <v>45883</v>
      </c>
      <c r="C316" t="s">
        <v>230</v>
      </c>
      <c r="D316" t="s">
        <v>87</v>
      </c>
      <c r="E316" t="s">
        <v>24</v>
      </c>
      <c r="F316" t="s">
        <v>14</v>
      </c>
      <c r="G316">
        <v>1</v>
      </c>
      <c r="H316">
        <v>127.32</v>
      </c>
      <c r="I316">
        <v>127.32</v>
      </c>
      <c r="J316">
        <v>14.59</v>
      </c>
    </row>
    <row r="317" spans="1:10" x14ac:dyDescent="0.35">
      <c r="A317" t="s">
        <v>433</v>
      </c>
      <c r="B317" s="1">
        <v>45883</v>
      </c>
      <c r="C317" t="s">
        <v>434</v>
      </c>
      <c r="D317" t="s">
        <v>40</v>
      </c>
      <c r="E317" t="s">
        <v>24</v>
      </c>
      <c r="F317" t="s">
        <v>14</v>
      </c>
      <c r="G317">
        <v>7</v>
      </c>
      <c r="H317">
        <v>117.15</v>
      </c>
      <c r="I317">
        <v>820.05</v>
      </c>
      <c r="J317">
        <v>129.96</v>
      </c>
    </row>
    <row r="318" spans="1:10" x14ac:dyDescent="0.35">
      <c r="A318" t="s">
        <v>435</v>
      </c>
      <c r="B318" s="1">
        <v>45884</v>
      </c>
      <c r="C318" t="s">
        <v>36</v>
      </c>
      <c r="D318" t="s">
        <v>12</v>
      </c>
      <c r="E318" t="s">
        <v>13</v>
      </c>
      <c r="F318" t="s">
        <v>18</v>
      </c>
      <c r="G318">
        <v>10</v>
      </c>
      <c r="H318">
        <v>667.69</v>
      </c>
      <c r="I318">
        <v>6676.9</v>
      </c>
      <c r="J318">
        <v>1346.47</v>
      </c>
    </row>
    <row r="319" spans="1:10" x14ac:dyDescent="0.35">
      <c r="A319" t="s">
        <v>436</v>
      </c>
      <c r="B319" s="1">
        <v>45884</v>
      </c>
      <c r="C319" t="s">
        <v>115</v>
      </c>
      <c r="D319" t="s">
        <v>17</v>
      </c>
      <c r="E319" t="s">
        <v>13</v>
      </c>
      <c r="F319" t="s">
        <v>32</v>
      </c>
      <c r="G319">
        <v>1</v>
      </c>
      <c r="H319">
        <v>426.07</v>
      </c>
      <c r="I319">
        <v>426.07</v>
      </c>
      <c r="J319">
        <v>123.57</v>
      </c>
    </row>
    <row r="320" spans="1:10" x14ac:dyDescent="0.35">
      <c r="A320" t="s">
        <v>437</v>
      </c>
      <c r="B320" s="1">
        <v>45885</v>
      </c>
      <c r="C320" t="s">
        <v>202</v>
      </c>
      <c r="D320" t="s">
        <v>87</v>
      </c>
      <c r="E320" t="s">
        <v>24</v>
      </c>
      <c r="F320" t="s">
        <v>18</v>
      </c>
      <c r="G320">
        <v>10</v>
      </c>
      <c r="H320">
        <v>43.75</v>
      </c>
      <c r="I320">
        <v>437.5</v>
      </c>
      <c r="J320">
        <v>64.069999999999993</v>
      </c>
    </row>
    <row r="321" spans="1:10" x14ac:dyDescent="0.35">
      <c r="A321" t="s">
        <v>438</v>
      </c>
      <c r="B321" s="1">
        <v>45885</v>
      </c>
      <c r="C321" t="s">
        <v>170</v>
      </c>
      <c r="D321" t="s">
        <v>23</v>
      </c>
      <c r="E321" t="s">
        <v>24</v>
      </c>
      <c r="F321" t="s">
        <v>20</v>
      </c>
      <c r="G321">
        <v>5</v>
      </c>
      <c r="H321">
        <v>77.12</v>
      </c>
      <c r="I321">
        <v>385.6</v>
      </c>
      <c r="J321">
        <v>61.32</v>
      </c>
    </row>
    <row r="322" spans="1:10" x14ac:dyDescent="0.35">
      <c r="A322" t="s">
        <v>439</v>
      </c>
      <c r="B322" s="1">
        <v>45886</v>
      </c>
      <c r="C322" t="s">
        <v>162</v>
      </c>
      <c r="D322" t="s">
        <v>23</v>
      </c>
      <c r="E322" t="s">
        <v>24</v>
      </c>
      <c r="F322" t="s">
        <v>18</v>
      </c>
      <c r="G322">
        <v>2</v>
      </c>
      <c r="H322">
        <v>52.36</v>
      </c>
      <c r="I322">
        <v>104.72</v>
      </c>
      <c r="J322">
        <v>28.18</v>
      </c>
    </row>
    <row r="323" spans="1:10" x14ac:dyDescent="0.35">
      <c r="A323" t="s">
        <v>440</v>
      </c>
      <c r="B323" s="1">
        <v>45886</v>
      </c>
      <c r="C323" t="s">
        <v>82</v>
      </c>
      <c r="D323" t="s">
        <v>40</v>
      </c>
      <c r="E323" t="s">
        <v>24</v>
      </c>
      <c r="F323" t="s">
        <v>20</v>
      </c>
      <c r="G323">
        <v>9</v>
      </c>
      <c r="H323">
        <v>56.2</v>
      </c>
      <c r="I323">
        <v>505.8</v>
      </c>
      <c r="J323">
        <v>52.61</v>
      </c>
    </row>
    <row r="324" spans="1:10" x14ac:dyDescent="0.35">
      <c r="A324" t="s">
        <v>441</v>
      </c>
      <c r="B324" s="1">
        <v>45886</v>
      </c>
      <c r="C324" t="s">
        <v>42</v>
      </c>
      <c r="D324" t="s">
        <v>37</v>
      </c>
      <c r="E324" t="s">
        <v>24</v>
      </c>
      <c r="F324" t="s">
        <v>18</v>
      </c>
      <c r="G324">
        <v>8</v>
      </c>
      <c r="H324">
        <v>34.32</v>
      </c>
      <c r="I324">
        <v>274.56</v>
      </c>
      <c r="J324">
        <v>30.78</v>
      </c>
    </row>
    <row r="325" spans="1:10" x14ac:dyDescent="0.35">
      <c r="A325" t="s">
        <v>442</v>
      </c>
      <c r="B325" s="1">
        <v>45887</v>
      </c>
      <c r="C325" t="s">
        <v>94</v>
      </c>
      <c r="D325" t="s">
        <v>12</v>
      </c>
      <c r="E325" t="s">
        <v>13</v>
      </c>
      <c r="F325" t="s">
        <v>14</v>
      </c>
      <c r="G325">
        <v>8</v>
      </c>
      <c r="H325">
        <v>1157.92</v>
      </c>
      <c r="I325">
        <v>9263.36</v>
      </c>
      <c r="J325">
        <v>1142.8599999999999</v>
      </c>
    </row>
    <row r="326" spans="1:10" x14ac:dyDescent="0.35">
      <c r="A326" t="s">
        <v>443</v>
      </c>
      <c r="B326" s="1">
        <v>45887</v>
      </c>
      <c r="C326" t="s">
        <v>198</v>
      </c>
      <c r="D326" t="s">
        <v>12</v>
      </c>
      <c r="E326" t="s">
        <v>13</v>
      </c>
      <c r="F326" t="s">
        <v>32</v>
      </c>
      <c r="G326">
        <v>4</v>
      </c>
      <c r="H326">
        <v>1039.1300000000001</v>
      </c>
      <c r="I326">
        <v>4156.5200000000004</v>
      </c>
      <c r="J326">
        <v>1041.94</v>
      </c>
    </row>
    <row r="327" spans="1:10" x14ac:dyDescent="0.35">
      <c r="A327" t="s">
        <v>444</v>
      </c>
      <c r="B327" s="1">
        <v>45888</v>
      </c>
      <c r="C327" t="s">
        <v>96</v>
      </c>
      <c r="D327" t="s">
        <v>17</v>
      </c>
      <c r="E327" t="s">
        <v>13</v>
      </c>
      <c r="F327" t="s">
        <v>20</v>
      </c>
      <c r="G327">
        <v>10</v>
      </c>
      <c r="H327">
        <v>286.36</v>
      </c>
      <c r="I327">
        <v>2863.6</v>
      </c>
      <c r="J327">
        <v>521.78</v>
      </c>
    </row>
    <row r="328" spans="1:10" x14ac:dyDescent="0.35">
      <c r="A328" t="s">
        <v>445</v>
      </c>
      <c r="B328" s="1">
        <v>45888</v>
      </c>
      <c r="C328" t="s">
        <v>11</v>
      </c>
      <c r="D328" t="s">
        <v>23</v>
      </c>
      <c r="E328" t="s">
        <v>24</v>
      </c>
      <c r="F328" t="s">
        <v>32</v>
      </c>
      <c r="G328">
        <v>8</v>
      </c>
      <c r="H328">
        <v>23.55</v>
      </c>
      <c r="I328">
        <v>188.4</v>
      </c>
      <c r="J328">
        <v>28.9</v>
      </c>
    </row>
    <row r="329" spans="1:10" x14ac:dyDescent="0.35">
      <c r="A329" t="s">
        <v>446</v>
      </c>
      <c r="B329" s="1">
        <v>45888</v>
      </c>
      <c r="C329" t="s">
        <v>138</v>
      </c>
      <c r="D329" t="s">
        <v>27</v>
      </c>
      <c r="E329" t="s">
        <v>13</v>
      </c>
      <c r="F329" t="s">
        <v>20</v>
      </c>
      <c r="G329">
        <v>1</v>
      </c>
      <c r="H329">
        <v>177.22</v>
      </c>
      <c r="I329">
        <v>177.22</v>
      </c>
      <c r="J329">
        <v>37.43</v>
      </c>
    </row>
    <row r="330" spans="1:10" x14ac:dyDescent="0.35">
      <c r="A330" t="s">
        <v>447</v>
      </c>
      <c r="B330" s="1">
        <v>45889</v>
      </c>
      <c r="C330" t="s">
        <v>106</v>
      </c>
      <c r="D330" t="s">
        <v>87</v>
      </c>
      <c r="E330" t="s">
        <v>24</v>
      </c>
      <c r="F330" t="s">
        <v>14</v>
      </c>
      <c r="G330">
        <v>9</v>
      </c>
      <c r="H330">
        <v>118.12</v>
      </c>
      <c r="I330">
        <v>1063.08</v>
      </c>
      <c r="J330">
        <v>317.08</v>
      </c>
    </row>
    <row r="331" spans="1:10" x14ac:dyDescent="0.35">
      <c r="A331" t="s">
        <v>448</v>
      </c>
      <c r="B331" s="1">
        <v>45889</v>
      </c>
      <c r="C331" t="s">
        <v>122</v>
      </c>
      <c r="D331" t="s">
        <v>87</v>
      </c>
      <c r="E331" t="s">
        <v>24</v>
      </c>
      <c r="F331" t="s">
        <v>20</v>
      </c>
      <c r="G331">
        <v>8</v>
      </c>
      <c r="H331">
        <v>166.91</v>
      </c>
      <c r="I331">
        <v>1335.28</v>
      </c>
      <c r="J331">
        <v>298.73</v>
      </c>
    </row>
    <row r="332" spans="1:10" x14ac:dyDescent="0.35">
      <c r="A332" t="s">
        <v>449</v>
      </c>
      <c r="B332" s="1">
        <v>45889</v>
      </c>
      <c r="C332" t="s">
        <v>36</v>
      </c>
      <c r="D332" t="s">
        <v>27</v>
      </c>
      <c r="E332" t="s">
        <v>13</v>
      </c>
      <c r="F332" t="s">
        <v>20</v>
      </c>
      <c r="G332">
        <v>4</v>
      </c>
      <c r="H332">
        <v>207.93</v>
      </c>
      <c r="I332">
        <v>831.72</v>
      </c>
      <c r="J332">
        <v>187.45</v>
      </c>
    </row>
    <row r="333" spans="1:10" x14ac:dyDescent="0.35">
      <c r="A333" t="s">
        <v>450</v>
      </c>
      <c r="B333" s="1">
        <v>45890</v>
      </c>
      <c r="C333" t="s">
        <v>42</v>
      </c>
      <c r="D333" t="s">
        <v>37</v>
      </c>
      <c r="E333" t="s">
        <v>24</v>
      </c>
      <c r="F333" t="s">
        <v>14</v>
      </c>
      <c r="G333">
        <v>5</v>
      </c>
      <c r="H333">
        <v>47.08</v>
      </c>
      <c r="I333">
        <v>235.4</v>
      </c>
      <c r="J333">
        <v>19.73</v>
      </c>
    </row>
    <row r="334" spans="1:10" x14ac:dyDescent="0.35">
      <c r="A334" t="s">
        <v>451</v>
      </c>
      <c r="B334" s="1">
        <v>45890</v>
      </c>
      <c r="C334" t="s">
        <v>196</v>
      </c>
      <c r="D334" t="s">
        <v>17</v>
      </c>
      <c r="E334" t="s">
        <v>13</v>
      </c>
      <c r="F334" t="s">
        <v>14</v>
      </c>
      <c r="G334">
        <v>5</v>
      </c>
      <c r="H334">
        <v>615.5</v>
      </c>
      <c r="I334">
        <v>3077.5</v>
      </c>
      <c r="J334">
        <v>650.72</v>
      </c>
    </row>
    <row r="335" spans="1:10" x14ac:dyDescent="0.35">
      <c r="A335" t="s">
        <v>452</v>
      </c>
      <c r="B335" s="1">
        <v>45891</v>
      </c>
      <c r="C335" t="s">
        <v>50</v>
      </c>
      <c r="D335" t="s">
        <v>63</v>
      </c>
      <c r="E335" t="s">
        <v>64</v>
      </c>
      <c r="F335" t="s">
        <v>32</v>
      </c>
      <c r="G335">
        <v>7</v>
      </c>
      <c r="H335">
        <v>382.6</v>
      </c>
      <c r="I335">
        <v>2678.2</v>
      </c>
      <c r="J335">
        <v>592.86</v>
      </c>
    </row>
    <row r="336" spans="1:10" x14ac:dyDescent="0.35">
      <c r="A336" t="s">
        <v>453</v>
      </c>
      <c r="B336" s="1">
        <v>45892</v>
      </c>
      <c r="C336" t="s">
        <v>365</v>
      </c>
      <c r="D336" t="s">
        <v>40</v>
      </c>
      <c r="E336" t="s">
        <v>24</v>
      </c>
      <c r="F336" t="s">
        <v>14</v>
      </c>
      <c r="G336">
        <v>3</v>
      </c>
      <c r="H336">
        <v>99.7</v>
      </c>
      <c r="I336">
        <v>299.10000000000002</v>
      </c>
      <c r="J336">
        <v>34.200000000000003</v>
      </c>
    </row>
    <row r="337" spans="1:10" x14ac:dyDescent="0.35">
      <c r="A337" t="s">
        <v>454</v>
      </c>
      <c r="B337" s="1">
        <v>45893</v>
      </c>
      <c r="C337" t="s">
        <v>42</v>
      </c>
      <c r="D337" t="s">
        <v>12</v>
      </c>
      <c r="E337" t="s">
        <v>13</v>
      </c>
      <c r="F337" t="s">
        <v>14</v>
      </c>
      <c r="G337">
        <v>9</v>
      </c>
      <c r="H337">
        <v>1240.33</v>
      </c>
      <c r="I337">
        <v>11162.97</v>
      </c>
      <c r="J337">
        <v>1245.56</v>
      </c>
    </row>
    <row r="338" spans="1:10" x14ac:dyDescent="0.35">
      <c r="A338" t="s">
        <v>455</v>
      </c>
      <c r="B338" s="1">
        <v>45894</v>
      </c>
      <c r="C338" t="s">
        <v>112</v>
      </c>
      <c r="D338" t="s">
        <v>87</v>
      </c>
      <c r="E338" t="s">
        <v>24</v>
      </c>
      <c r="F338" t="s">
        <v>14</v>
      </c>
      <c r="G338">
        <v>6</v>
      </c>
      <c r="H338">
        <v>117.98</v>
      </c>
      <c r="I338">
        <v>707.88</v>
      </c>
      <c r="J338">
        <v>73.11</v>
      </c>
    </row>
    <row r="339" spans="1:10" x14ac:dyDescent="0.35">
      <c r="A339" t="s">
        <v>456</v>
      </c>
      <c r="B339" s="1">
        <v>45895</v>
      </c>
      <c r="C339" t="s">
        <v>136</v>
      </c>
      <c r="D339" t="s">
        <v>87</v>
      </c>
      <c r="E339" t="s">
        <v>24</v>
      </c>
      <c r="F339" t="s">
        <v>32</v>
      </c>
      <c r="G339">
        <v>4</v>
      </c>
      <c r="H339">
        <v>165.09</v>
      </c>
      <c r="I339">
        <v>660.36</v>
      </c>
      <c r="J339">
        <v>130.15</v>
      </c>
    </row>
    <row r="340" spans="1:10" x14ac:dyDescent="0.35">
      <c r="A340" t="s">
        <v>457</v>
      </c>
      <c r="B340" s="1">
        <v>45895</v>
      </c>
      <c r="C340" t="s">
        <v>98</v>
      </c>
      <c r="D340" t="s">
        <v>87</v>
      </c>
      <c r="E340" t="s">
        <v>24</v>
      </c>
      <c r="F340" t="s">
        <v>20</v>
      </c>
      <c r="G340">
        <v>7</v>
      </c>
      <c r="H340">
        <v>50.82</v>
      </c>
      <c r="I340">
        <v>355.74</v>
      </c>
      <c r="J340">
        <v>65.13</v>
      </c>
    </row>
    <row r="341" spans="1:10" x14ac:dyDescent="0.35">
      <c r="A341" t="s">
        <v>458</v>
      </c>
      <c r="B341" s="1">
        <v>45896</v>
      </c>
      <c r="C341" t="s">
        <v>34</v>
      </c>
      <c r="D341" t="s">
        <v>27</v>
      </c>
      <c r="E341" t="s">
        <v>13</v>
      </c>
      <c r="F341" t="s">
        <v>20</v>
      </c>
      <c r="G341">
        <v>10</v>
      </c>
      <c r="H341">
        <v>156.38</v>
      </c>
      <c r="I341">
        <v>1563.8</v>
      </c>
      <c r="J341">
        <v>254.7</v>
      </c>
    </row>
    <row r="342" spans="1:10" x14ac:dyDescent="0.35">
      <c r="A342" t="s">
        <v>459</v>
      </c>
      <c r="B342" s="1">
        <v>45897</v>
      </c>
      <c r="C342" t="s">
        <v>48</v>
      </c>
      <c r="D342" t="s">
        <v>17</v>
      </c>
      <c r="E342" t="s">
        <v>13</v>
      </c>
      <c r="F342" t="s">
        <v>14</v>
      </c>
      <c r="G342">
        <v>9</v>
      </c>
      <c r="H342">
        <v>486.05</v>
      </c>
      <c r="I342">
        <v>4374.45</v>
      </c>
      <c r="J342">
        <v>958.19</v>
      </c>
    </row>
    <row r="343" spans="1:10" x14ac:dyDescent="0.35">
      <c r="A343" t="s">
        <v>460</v>
      </c>
      <c r="B343" s="1">
        <v>45899</v>
      </c>
      <c r="C343" t="s">
        <v>461</v>
      </c>
      <c r="D343" t="s">
        <v>17</v>
      </c>
      <c r="E343" t="s">
        <v>13</v>
      </c>
      <c r="F343" t="s">
        <v>14</v>
      </c>
      <c r="G343">
        <v>3</v>
      </c>
      <c r="H343">
        <v>654.16</v>
      </c>
      <c r="I343">
        <v>1962.48</v>
      </c>
      <c r="J343">
        <v>296.06</v>
      </c>
    </row>
    <row r="344" spans="1:10" x14ac:dyDescent="0.35">
      <c r="A344" t="s">
        <v>462</v>
      </c>
      <c r="B344" s="1">
        <v>45899</v>
      </c>
      <c r="C344" t="s">
        <v>230</v>
      </c>
      <c r="D344" t="s">
        <v>23</v>
      </c>
      <c r="E344" t="s">
        <v>24</v>
      </c>
      <c r="F344" t="s">
        <v>20</v>
      </c>
      <c r="G344">
        <v>1</v>
      </c>
      <c r="H344">
        <v>66.97</v>
      </c>
      <c r="I344">
        <v>66.97</v>
      </c>
      <c r="J344">
        <v>7.74</v>
      </c>
    </row>
    <row r="345" spans="1:10" x14ac:dyDescent="0.35">
      <c r="A345" t="s">
        <v>463</v>
      </c>
      <c r="B345" s="1">
        <v>45900</v>
      </c>
      <c r="C345" t="s">
        <v>178</v>
      </c>
      <c r="D345" t="s">
        <v>23</v>
      </c>
      <c r="E345" t="s">
        <v>24</v>
      </c>
      <c r="F345" t="s">
        <v>32</v>
      </c>
      <c r="G345">
        <v>5</v>
      </c>
      <c r="H345">
        <v>77.930000000000007</v>
      </c>
      <c r="I345">
        <v>389.65</v>
      </c>
      <c r="J345">
        <v>76.319999999999993</v>
      </c>
    </row>
    <row r="346" spans="1:10" x14ac:dyDescent="0.35">
      <c r="A346" t="s">
        <v>464</v>
      </c>
      <c r="B346" s="1">
        <v>45901</v>
      </c>
      <c r="C346" t="s">
        <v>159</v>
      </c>
      <c r="D346" t="s">
        <v>40</v>
      </c>
      <c r="E346" t="s">
        <v>24</v>
      </c>
      <c r="F346" t="s">
        <v>32</v>
      </c>
      <c r="G346">
        <v>10</v>
      </c>
      <c r="H346">
        <v>141.08000000000001</v>
      </c>
      <c r="I346">
        <v>1410.8</v>
      </c>
      <c r="J346">
        <v>286.63</v>
      </c>
    </row>
    <row r="347" spans="1:10" x14ac:dyDescent="0.35">
      <c r="A347" t="s">
        <v>465</v>
      </c>
      <c r="B347" s="1">
        <v>45902</v>
      </c>
      <c r="C347" t="s">
        <v>290</v>
      </c>
      <c r="D347" t="s">
        <v>23</v>
      </c>
      <c r="E347" t="s">
        <v>24</v>
      </c>
      <c r="F347" t="s">
        <v>18</v>
      </c>
      <c r="G347">
        <v>9</v>
      </c>
      <c r="H347">
        <v>40.82</v>
      </c>
      <c r="I347">
        <v>367.38</v>
      </c>
      <c r="J347">
        <v>96.62</v>
      </c>
    </row>
    <row r="348" spans="1:10" x14ac:dyDescent="0.35">
      <c r="A348" t="s">
        <v>466</v>
      </c>
      <c r="B348" s="1">
        <v>45903</v>
      </c>
      <c r="C348" t="s">
        <v>319</v>
      </c>
      <c r="D348" t="s">
        <v>87</v>
      </c>
      <c r="E348" t="s">
        <v>24</v>
      </c>
      <c r="F348" t="s">
        <v>20</v>
      </c>
      <c r="G348">
        <v>1</v>
      </c>
      <c r="H348">
        <v>137.43</v>
      </c>
      <c r="I348">
        <v>137.43</v>
      </c>
      <c r="J348">
        <v>21.46</v>
      </c>
    </row>
    <row r="349" spans="1:10" x14ac:dyDescent="0.35">
      <c r="A349" t="s">
        <v>467</v>
      </c>
      <c r="B349" s="1">
        <v>45904</v>
      </c>
      <c r="C349" t="s">
        <v>434</v>
      </c>
      <c r="D349" t="s">
        <v>40</v>
      </c>
      <c r="E349" t="s">
        <v>24</v>
      </c>
      <c r="F349" t="s">
        <v>18</v>
      </c>
      <c r="G349">
        <v>7</v>
      </c>
      <c r="H349">
        <v>44.07</v>
      </c>
      <c r="I349">
        <v>308.49</v>
      </c>
      <c r="J349">
        <v>30.21</v>
      </c>
    </row>
    <row r="350" spans="1:10" x14ac:dyDescent="0.35">
      <c r="A350" t="s">
        <v>468</v>
      </c>
      <c r="B350" s="1">
        <v>45906</v>
      </c>
      <c r="C350" t="s">
        <v>394</v>
      </c>
      <c r="D350" t="s">
        <v>23</v>
      </c>
      <c r="E350" t="s">
        <v>24</v>
      </c>
      <c r="F350" t="s">
        <v>20</v>
      </c>
      <c r="G350">
        <v>2</v>
      </c>
      <c r="H350">
        <v>68.599999999999994</v>
      </c>
      <c r="I350">
        <v>137.19999999999999</v>
      </c>
      <c r="J350">
        <v>25.03</v>
      </c>
    </row>
    <row r="351" spans="1:10" x14ac:dyDescent="0.35">
      <c r="A351" t="s">
        <v>469</v>
      </c>
      <c r="B351" s="1">
        <v>45908</v>
      </c>
      <c r="C351" t="s">
        <v>11</v>
      </c>
      <c r="D351" t="s">
        <v>12</v>
      </c>
      <c r="E351" t="s">
        <v>13</v>
      </c>
      <c r="F351" t="s">
        <v>18</v>
      </c>
      <c r="G351">
        <v>9</v>
      </c>
      <c r="H351">
        <v>749.54</v>
      </c>
      <c r="I351">
        <v>6745.86</v>
      </c>
      <c r="J351">
        <v>1829.73</v>
      </c>
    </row>
    <row r="352" spans="1:10" x14ac:dyDescent="0.35">
      <c r="A352" t="s">
        <v>470</v>
      </c>
      <c r="B352" s="1">
        <v>45908</v>
      </c>
      <c r="C352" t="s">
        <v>46</v>
      </c>
      <c r="D352" t="s">
        <v>87</v>
      </c>
      <c r="E352" t="s">
        <v>24</v>
      </c>
      <c r="F352" t="s">
        <v>20</v>
      </c>
      <c r="G352">
        <v>3</v>
      </c>
      <c r="H352">
        <v>118.37</v>
      </c>
      <c r="I352">
        <v>355.11</v>
      </c>
      <c r="J352">
        <v>46.79</v>
      </c>
    </row>
    <row r="353" spans="1:10" x14ac:dyDescent="0.35">
      <c r="A353" t="s">
        <v>471</v>
      </c>
      <c r="B353" s="1">
        <v>45909</v>
      </c>
      <c r="C353" t="s">
        <v>31</v>
      </c>
      <c r="D353" t="s">
        <v>27</v>
      </c>
      <c r="E353" t="s">
        <v>13</v>
      </c>
      <c r="F353" t="s">
        <v>18</v>
      </c>
      <c r="G353">
        <v>5</v>
      </c>
      <c r="H353">
        <v>266.49</v>
      </c>
      <c r="I353">
        <v>1332.45</v>
      </c>
      <c r="J353">
        <v>106.96</v>
      </c>
    </row>
    <row r="354" spans="1:10" x14ac:dyDescent="0.35">
      <c r="A354" t="s">
        <v>472</v>
      </c>
      <c r="B354" s="1">
        <v>45909</v>
      </c>
      <c r="C354" t="s">
        <v>200</v>
      </c>
      <c r="D354" t="s">
        <v>17</v>
      </c>
      <c r="E354" t="s">
        <v>13</v>
      </c>
      <c r="F354" t="s">
        <v>18</v>
      </c>
      <c r="G354">
        <v>9</v>
      </c>
      <c r="H354">
        <v>243.86</v>
      </c>
      <c r="I354">
        <v>2194.7399999999998</v>
      </c>
      <c r="J354">
        <v>471.2</v>
      </c>
    </row>
    <row r="355" spans="1:10" x14ac:dyDescent="0.35">
      <c r="A355" t="s">
        <v>473</v>
      </c>
      <c r="B355" s="1">
        <v>45910</v>
      </c>
      <c r="C355" t="s">
        <v>98</v>
      </c>
      <c r="D355" t="s">
        <v>23</v>
      </c>
      <c r="E355" t="s">
        <v>24</v>
      </c>
      <c r="F355" t="s">
        <v>14</v>
      </c>
      <c r="G355">
        <v>1</v>
      </c>
      <c r="H355">
        <v>94.56</v>
      </c>
      <c r="I355">
        <v>94.56</v>
      </c>
      <c r="J355">
        <v>21.04</v>
      </c>
    </row>
    <row r="356" spans="1:10" x14ac:dyDescent="0.35">
      <c r="A356" t="s">
        <v>474</v>
      </c>
      <c r="B356" s="1">
        <v>45910</v>
      </c>
      <c r="C356" t="s">
        <v>475</v>
      </c>
      <c r="D356" t="s">
        <v>40</v>
      </c>
      <c r="E356" t="s">
        <v>24</v>
      </c>
      <c r="F356" t="s">
        <v>18</v>
      </c>
      <c r="G356">
        <v>7</v>
      </c>
      <c r="H356">
        <v>104.77</v>
      </c>
      <c r="I356">
        <v>733.39</v>
      </c>
      <c r="J356">
        <v>83.46</v>
      </c>
    </row>
    <row r="357" spans="1:10" x14ac:dyDescent="0.35">
      <c r="A357" t="s">
        <v>476</v>
      </c>
      <c r="B357" s="1">
        <v>45911</v>
      </c>
      <c r="C357" t="s">
        <v>100</v>
      </c>
      <c r="D357" t="s">
        <v>37</v>
      </c>
      <c r="E357" t="s">
        <v>24</v>
      </c>
      <c r="F357" t="s">
        <v>20</v>
      </c>
      <c r="G357">
        <v>2</v>
      </c>
      <c r="H357">
        <v>43.08</v>
      </c>
      <c r="I357">
        <v>86.16</v>
      </c>
      <c r="J357">
        <v>21.93</v>
      </c>
    </row>
    <row r="358" spans="1:10" x14ac:dyDescent="0.35">
      <c r="A358" t="s">
        <v>477</v>
      </c>
      <c r="B358" s="1">
        <v>45911</v>
      </c>
      <c r="C358" t="s">
        <v>89</v>
      </c>
      <c r="D358" t="s">
        <v>40</v>
      </c>
      <c r="E358" t="s">
        <v>24</v>
      </c>
      <c r="F358" t="s">
        <v>20</v>
      </c>
      <c r="G358">
        <v>2</v>
      </c>
      <c r="H358">
        <v>136.09</v>
      </c>
      <c r="I358">
        <v>272.18</v>
      </c>
      <c r="J358">
        <v>57.45</v>
      </c>
    </row>
    <row r="359" spans="1:10" x14ac:dyDescent="0.35">
      <c r="A359" t="s">
        <v>478</v>
      </c>
      <c r="B359" s="1">
        <v>45911</v>
      </c>
      <c r="C359" t="s">
        <v>46</v>
      </c>
      <c r="D359" t="s">
        <v>63</v>
      </c>
      <c r="E359" t="s">
        <v>64</v>
      </c>
      <c r="F359" t="s">
        <v>18</v>
      </c>
      <c r="G359">
        <v>5</v>
      </c>
      <c r="H359">
        <v>165.24</v>
      </c>
      <c r="I359">
        <v>826.2</v>
      </c>
      <c r="J359">
        <v>197.77</v>
      </c>
    </row>
    <row r="360" spans="1:10" x14ac:dyDescent="0.35">
      <c r="A360" t="s">
        <v>479</v>
      </c>
      <c r="B360" s="1">
        <v>45912</v>
      </c>
      <c r="C360" t="s">
        <v>164</v>
      </c>
      <c r="D360" t="s">
        <v>63</v>
      </c>
      <c r="E360" t="s">
        <v>64</v>
      </c>
      <c r="F360" t="s">
        <v>20</v>
      </c>
      <c r="G360">
        <v>3</v>
      </c>
      <c r="H360">
        <v>311.12</v>
      </c>
      <c r="I360">
        <v>933.36</v>
      </c>
      <c r="J360">
        <v>256.13</v>
      </c>
    </row>
    <row r="361" spans="1:10" x14ac:dyDescent="0.35">
      <c r="A361" t="s">
        <v>480</v>
      </c>
      <c r="B361" s="1">
        <v>45913</v>
      </c>
      <c r="C361" t="s">
        <v>36</v>
      </c>
      <c r="D361" t="s">
        <v>87</v>
      </c>
      <c r="E361" t="s">
        <v>24</v>
      </c>
      <c r="F361" t="s">
        <v>18</v>
      </c>
      <c r="G361">
        <v>10</v>
      </c>
      <c r="H361">
        <v>86.82</v>
      </c>
      <c r="I361">
        <v>868.2</v>
      </c>
      <c r="J361">
        <v>214.06</v>
      </c>
    </row>
    <row r="362" spans="1:10" x14ac:dyDescent="0.35">
      <c r="A362" t="s">
        <v>481</v>
      </c>
      <c r="B362" s="1">
        <v>45913</v>
      </c>
      <c r="C362" t="s">
        <v>60</v>
      </c>
      <c r="D362" t="s">
        <v>27</v>
      </c>
      <c r="E362" t="s">
        <v>13</v>
      </c>
      <c r="F362" t="s">
        <v>32</v>
      </c>
      <c r="G362">
        <v>5</v>
      </c>
      <c r="H362">
        <v>324.33</v>
      </c>
      <c r="I362">
        <v>1621.65</v>
      </c>
      <c r="J362">
        <v>187.66</v>
      </c>
    </row>
    <row r="363" spans="1:10" x14ac:dyDescent="0.35">
      <c r="A363" t="s">
        <v>482</v>
      </c>
      <c r="B363" s="1">
        <v>45913</v>
      </c>
      <c r="C363" t="s">
        <v>89</v>
      </c>
      <c r="D363" t="s">
        <v>87</v>
      </c>
      <c r="E363" t="s">
        <v>24</v>
      </c>
      <c r="F363" t="s">
        <v>14</v>
      </c>
      <c r="G363">
        <v>1</v>
      </c>
      <c r="H363">
        <v>127.71</v>
      </c>
      <c r="I363">
        <v>127.71</v>
      </c>
      <c r="J363">
        <v>26.93</v>
      </c>
    </row>
    <row r="364" spans="1:10" x14ac:dyDescent="0.35">
      <c r="A364" t="s">
        <v>483</v>
      </c>
      <c r="B364" s="1">
        <v>45913</v>
      </c>
      <c r="C364" t="s">
        <v>129</v>
      </c>
      <c r="D364" t="s">
        <v>37</v>
      </c>
      <c r="E364" t="s">
        <v>24</v>
      </c>
      <c r="F364" t="s">
        <v>14</v>
      </c>
      <c r="G364">
        <v>1</v>
      </c>
      <c r="H364">
        <v>37.590000000000003</v>
      </c>
      <c r="I364">
        <v>37.590000000000003</v>
      </c>
      <c r="J364">
        <v>8.49</v>
      </c>
    </row>
    <row r="365" spans="1:10" x14ac:dyDescent="0.35">
      <c r="A365" t="s">
        <v>484</v>
      </c>
      <c r="B365" s="1">
        <v>45913</v>
      </c>
      <c r="C365" t="s">
        <v>194</v>
      </c>
      <c r="D365" t="s">
        <v>40</v>
      </c>
      <c r="E365" t="s">
        <v>24</v>
      </c>
      <c r="F365" t="s">
        <v>18</v>
      </c>
      <c r="G365">
        <v>6</v>
      </c>
      <c r="H365">
        <v>124.87</v>
      </c>
      <c r="I365">
        <v>749.22</v>
      </c>
      <c r="J365">
        <v>200.44</v>
      </c>
    </row>
    <row r="366" spans="1:10" x14ac:dyDescent="0.35">
      <c r="A366" t="s">
        <v>485</v>
      </c>
      <c r="B366" s="1">
        <v>45915</v>
      </c>
      <c r="C366" t="s">
        <v>409</v>
      </c>
      <c r="D366" t="s">
        <v>63</v>
      </c>
      <c r="E366" t="s">
        <v>64</v>
      </c>
      <c r="F366" t="s">
        <v>32</v>
      </c>
      <c r="G366">
        <v>8</v>
      </c>
      <c r="H366">
        <v>414.88</v>
      </c>
      <c r="I366">
        <v>3319.04</v>
      </c>
      <c r="J366">
        <v>967.46</v>
      </c>
    </row>
    <row r="367" spans="1:10" x14ac:dyDescent="0.35">
      <c r="A367" t="s">
        <v>486</v>
      </c>
      <c r="B367" s="1">
        <v>45915</v>
      </c>
      <c r="C367" t="s">
        <v>277</v>
      </c>
      <c r="D367" t="s">
        <v>40</v>
      </c>
      <c r="E367" t="s">
        <v>24</v>
      </c>
      <c r="F367" t="s">
        <v>20</v>
      </c>
      <c r="G367">
        <v>7</v>
      </c>
      <c r="H367">
        <v>78.88</v>
      </c>
      <c r="I367">
        <v>552.16</v>
      </c>
      <c r="J367">
        <v>98.77</v>
      </c>
    </row>
    <row r="368" spans="1:10" x14ac:dyDescent="0.35">
      <c r="A368" t="s">
        <v>487</v>
      </c>
      <c r="B368" s="1">
        <v>45915</v>
      </c>
      <c r="C368" t="s">
        <v>237</v>
      </c>
      <c r="D368" t="s">
        <v>23</v>
      </c>
      <c r="E368" t="s">
        <v>24</v>
      </c>
      <c r="F368" t="s">
        <v>32</v>
      </c>
      <c r="G368">
        <v>8</v>
      </c>
      <c r="H368">
        <v>78.569999999999993</v>
      </c>
      <c r="I368">
        <v>628.55999999999995</v>
      </c>
      <c r="J368">
        <v>102.04</v>
      </c>
    </row>
    <row r="369" spans="1:10" x14ac:dyDescent="0.35">
      <c r="A369" t="s">
        <v>488</v>
      </c>
      <c r="B369" s="1">
        <v>45916</v>
      </c>
      <c r="C369" t="s">
        <v>42</v>
      </c>
      <c r="D369" t="s">
        <v>40</v>
      </c>
      <c r="E369" t="s">
        <v>24</v>
      </c>
      <c r="F369" t="s">
        <v>18</v>
      </c>
      <c r="G369">
        <v>1</v>
      </c>
      <c r="H369">
        <v>86.09</v>
      </c>
      <c r="I369">
        <v>86.09</v>
      </c>
      <c r="J369">
        <v>24.04</v>
      </c>
    </row>
    <row r="370" spans="1:10" x14ac:dyDescent="0.35">
      <c r="A370" t="s">
        <v>489</v>
      </c>
      <c r="B370" s="1">
        <v>45917</v>
      </c>
      <c r="C370" t="s">
        <v>77</v>
      </c>
      <c r="D370" t="s">
        <v>40</v>
      </c>
      <c r="E370" t="s">
        <v>24</v>
      </c>
      <c r="F370" t="s">
        <v>18</v>
      </c>
      <c r="G370">
        <v>5</v>
      </c>
      <c r="H370">
        <v>60.01</v>
      </c>
      <c r="I370">
        <v>300.05</v>
      </c>
      <c r="J370">
        <v>40.340000000000003</v>
      </c>
    </row>
    <row r="371" spans="1:10" x14ac:dyDescent="0.35">
      <c r="A371" t="s">
        <v>490</v>
      </c>
      <c r="B371" s="1">
        <v>45917</v>
      </c>
      <c r="C371" t="s">
        <v>312</v>
      </c>
      <c r="D371" t="s">
        <v>23</v>
      </c>
      <c r="E371" t="s">
        <v>24</v>
      </c>
      <c r="F371" t="s">
        <v>18</v>
      </c>
      <c r="G371">
        <v>10</v>
      </c>
      <c r="H371">
        <v>41.84</v>
      </c>
      <c r="I371">
        <v>418.4</v>
      </c>
      <c r="J371">
        <v>125.1</v>
      </c>
    </row>
    <row r="372" spans="1:10" x14ac:dyDescent="0.35">
      <c r="A372" t="s">
        <v>491</v>
      </c>
      <c r="B372" s="1">
        <v>45917</v>
      </c>
      <c r="C372" t="s">
        <v>167</v>
      </c>
      <c r="D372" t="s">
        <v>37</v>
      </c>
      <c r="E372" t="s">
        <v>24</v>
      </c>
      <c r="F372" t="s">
        <v>32</v>
      </c>
      <c r="G372">
        <v>4</v>
      </c>
      <c r="H372">
        <v>44.69</v>
      </c>
      <c r="I372">
        <v>178.76</v>
      </c>
      <c r="J372">
        <v>38.18</v>
      </c>
    </row>
    <row r="373" spans="1:10" x14ac:dyDescent="0.35">
      <c r="A373" t="s">
        <v>492</v>
      </c>
      <c r="B373" s="1">
        <v>45917</v>
      </c>
      <c r="C373" t="s">
        <v>237</v>
      </c>
      <c r="D373" t="s">
        <v>17</v>
      </c>
      <c r="E373" t="s">
        <v>13</v>
      </c>
      <c r="F373" t="s">
        <v>18</v>
      </c>
      <c r="G373">
        <v>4</v>
      </c>
      <c r="H373">
        <v>594.95000000000005</v>
      </c>
      <c r="I373">
        <v>2379.8000000000002</v>
      </c>
      <c r="J373">
        <v>524.39</v>
      </c>
    </row>
    <row r="374" spans="1:10" x14ac:dyDescent="0.35">
      <c r="A374" t="s">
        <v>493</v>
      </c>
      <c r="B374" s="1">
        <v>45917</v>
      </c>
      <c r="C374" t="s">
        <v>264</v>
      </c>
      <c r="D374" t="s">
        <v>12</v>
      </c>
      <c r="E374" t="s">
        <v>13</v>
      </c>
      <c r="F374" t="s">
        <v>32</v>
      </c>
      <c r="G374">
        <v>6</v>
      </c>
      <c r="H374">
        <v>1170.56</v>
      </c>
      <c r="I374">
        <v>7023.36</v>
      </c>
      <c r="J374">
        <v>1370.11</v>
      </c>
    </row>
    <row r="375" spans="1:10" x14ac:dyDescent="0.35">
      <c r="A375" t="s">
        <v>494</v>
      </c>
      <c r="B375" s="1">
        <v>45918</v>
      </c>
      <c r="C375" t="s">
        <v>100</v>
      </c>
      <c r="D375" t="s">
        <v>40</v>
      </c>
      <c r="E375" t="s">
        <v>24</v>
      </c>
      <c r="F375" t="s">
        <v>32</v>
      </c>
      <c r="G375">
        <v>6</v>
      </c>
      <c r="H375">
        <v>114.8</v>
      </c>
      <c r="I375">
        <v>688.8</v>
      </c>
      <c r="J375">
        <v>112.03</v>
      </c>
    </row>
    <row r="376" spans="1:10" x14ac:dyDescent="0.35">
      <c r="A376" t="s">
        <v>495</v>
      </c>
      <c r="B376" s="1">
        <v>45918</v>
      </c>
      <c r="C376" t="s">
        <v>94</v>
      </c>
      <c r="D376" t="s">
        <v>63</v>
      </c>
      <c r="E376" t="s">
        <v>64</v>
      </c>
      <c r="F376" t="s">
        <v>20</v>
      </c>
      <c r="G376">
        <v>7</v>
      </c>
      <c r="H376">
        <v>367.87</v>
      </c>
      <c r="I376">
        <v>2575.09</v>
      </c>
      <c r="J376">
        <v>645.63</v>
      </c>
    </row>
    <row r="377" spans="1:10" x14ac:dyDescent="0.35">
      <c r="A377" t="s">
        <v>496</v>
      </c>
      <c r="B377" s="1">
        <v>45918</v>
      </c>
      <c r="C377" t="s">
        <v>11</v>
      </c>
      <c r="D377" t="s">
        <v>23</v>
      </c>
      <c r="E377" t="s">
        <v>24</v>
      </c>
      <c r="F377" t="s">
        <v>32</v>
      </c>
      <c r="G377">
        <v>5</v>
      </c>
      <c r="H377">
        <v>28.24</v>
      </c>
      <c r="I377">
        <v>141.19999999999999</v>
      </c>
      <c r="J377">
        <v>23.89</v>
      </c>
    </row>
    <row r="378" spans="1:10" x14ac:dyDescent="0.35">
      <c r="A378" t="s">
        <v>497</v>
      </c>
      <c r="B378" s="1">
        <v>45918</v>
      </c>
      <c r="C378" t="s">
        <v>94</v>
      </c>
      <c r="D378" t="s">
        <v>87</v>
      </c>
      <c r="E378" t="s">
        <v>24</v>
      </c>
      <c r="F378" t="s">
        <v>20</v>
      </c>
      <c r="G378">
        <v>3</v>
      </c>
      <c r="H378">
        <v>164.24</v>
      </c>
      <c r="I378">
        <v>492.72</v>
      </c>
      <c r="J378">
        <v>60.05</v>
      </c>
    </row>
    <row r="379" spans="1:10" x14ac:dyDescent="0.35">
      <c r="A379" t="s">
        <v>498</v>
      </c>
      <c r="B379" s="1">
        <v>45919</v>
      </c>
      <c r="C379" t="s">
        <v>365</v>
      </c>
      <c r="D379" t="s">
        <v>40</v>
      </c>
      <c r="E379" t="s">
        <v>24</v>
      </c>
      <c r="F379" t="s">
        <v>14</v>
      </c>
      <c r="G379">
        <v>8</v>
      </c>
      <c r="H379">
        <v>98.54</v>
      </c>
      <c r="I379">
        <v>788.32</v>
      </c>
      <c r="J379">
        <v>194.29</v>
      </c>
    </row>
    <row r="380" spans="1:10" x14ac:dyDescent="0.35">
      <c r="A380" t="s">
        <v>499</v>
      </c>
      <c r="B380" s="1">
        <v>45920</v>
      </c>
      <c r="C380" t="s">
        <v>159</v>
      </c>
      <c r="D380" t="s">
        <v>37</v>
      </c>
      <c r="E380" t="s">
        <v>24</v>
      </c>
      <c r="F380" t="s">
        <v>14</v>
      </c>
      <c r="G380">
        <v>6</v>
      </c>
      <c r="H380">
        <v>37.14</v>
      </c>
      <c r="I380">
        <v>222.84</v>
      </c>
      <c r="J380">
        <v>26.92</v>
      </c>
    </row>
    <row r="381" spans="1:10" x14ac:dyDescent="0.35">
      <c r="A381" t="s">
        <v>500</v>
      </c>
      <c r="B381" s="1">
        <v>45921</v>
      </c>
      <c r="C381" t="s">
        <v>249</v>
      </c>
      <c r="D381" t="s">
        <v>23</v>
      </c>
      <c r="E381" t="s">
        <v>24</v>
      </c>
      <c r="F381" t="s">
        <v>14</v>
      </c>
      <c r="G381">
        <v>9</v>
      </c>
      <c r="H381">
        <v>82.44</v>
      </c>
      <c r="I381">
        <v>741.96</v>
      </c>
      <c r="J381">
        <v>95.36</v>
      </c>
    </row>
    <row r="382" spans="1:10" x14ac:dyDescent="0.35">
      <c r="A382" t="s">
        <v>501</v>
      </c>
      <c r="B382" s="1">
        <v>45923</v>
      </c>
      <c r="C382" t="s">
        <v>48</v>
      </c>
      <c r="D382" t="s">
        <v>17</v>
      </c>
      <c r="E382" t="s">
        <v>13</v>
      </c>
      <c r="F382" t="s">
        <v>20</v>
      </c>
      <c r="G382">
        <v>6</v>
      </c>
      <c r="H382">
        <v>535.15</v>
      </c>
      <c r="I382">
        <v>3210.9</v>
      </c>
      <c r="J382">
        <v>589.96</v>
      </c>
    </row>
    <row r="383" spans="1:10" x14ac:dyDescent="0.35">
      <c r="A383" t="s">
        <v>502</v>
      </c>
      <c r="B383" s="1">
        <v>45923</v>
      </c>
      <c r="C383" t="s">
        <v>89</v>
      </c>
      <c r="D383" t="s">
        <v>40</v>
      </c>
      <c r="E383" t="s">
        <v>24</v>
      </c>
      <c r="F383" t="s">
        <v>14</v>
      </c>
      <c r="G383">
        <v>8</v>
      </c>
      <c r="H383">
        <v>136.82</v>
      </c>
      <c r="I383">
        <v>1094.56</v>
      </c>
      <c r="J383">
        <v>194.01</v>
      </c>
    </row>
    <row r="384" spans="1:10" x14ac:dyDescent="0.35">
      <c r="A384" t="s">
        <v>503</v>
      </c>
      <c r="B384" s="1">
        <v>45923</v>
      </c>
      <c r="C384" t="s">
        <v>56</v>
      </c>
      <c r="D384" t="s">
        <v>40</v>
      </c>
      <c r="E384" t="s">
        <v>24</v>
      </c>
      <c r="F384" t="s">
        <v>20</v>
      </c>
      <c r="G384">
        <v>10</v>
      </c>
      <c r="H384">
        <v>132.13</v>
      </c>
      <c r="I384">
        <v>1321.3</v>
      </c>
      <c r="J384">
        <v>393.53</v>
      </c>
    </row>
    <row r="385" spans="1:10" x14ac:dyDescent="0.35">
      <c r="A385" t="s">
        <v>504</v>
      </c>
      <c r="B385" s="1">
        <v>45924</v>
      </c>
      <c r="C385" t="s">
        <v>91</v>
      </c>
      <c r="D385" t="s">
        <v>40</v>
      </c>
      <c r="E385" t="s">
        <v>24</v>
      </c>
      <c r="F385" t="s">
        <v>20</v>
      </c>
      <c r="G385">
        <v>5</v>
      </c>
      <c r="H385">
        <v>147.96</v>
      </c>
      <c r="I385">
        <v>739.8</v>
      </c>
      <c r="J385">
        <v>92.34</v>
      </c>
    </row>
    <row r="386" spans="1:10" x14ac:dyDescent="0.35">
      <c r="A386" t="s">
        <v>505</v>
      </c>
      <c r="B386" s="1">
        <v>45925</v>
      </c>
      <c r="C386" t="s">
        <v>31</v>
      </c>
      <c r="D386" t="s">
        <v>27</v>
      </c>
      <c r="E386" t="s">
        <v>13</v>
      </c>
      <c r="F386" t="s">
        <v>14</v>
      </c>
      <c r="G386">
        <v>10</v>
      </c>
      <c r="H386">
        <v>329.36</v>
      </c>
      <c r="I386">
        <v>3293.6</v>
      </c>
      <c r="J386">
        <v>760.53</v>
      </c>
    </row>
    <row r="387" spans="1:10" x14ac:dyDescent="0.35">
      <c r="A387" t="s">
        <v>506</v>
      </c>
      <c r="B387" s="1">
        <v>45926</v>
      </c>
      <c r="C387" t="s">
        <v>124</v>
      </c>
      <c r="D387" t="s">
        <v>12</v>
      </c>
      <c r="E387" t="s">
        <v>13</v>
      </c>
      <c r="F387" t="s">
        <v>20</v>
      </c>
      <c r="G387">
        <v>9</v>
      </c>
      <c r="H387">
        <v>578.23</v>
      </c>
      <c r="I387">
        <v>5204.07</v>
      </c>
      <c r="J387">
        <v>1089.3900000000001</v>
      </c>
    </row>
    <row r="388" spans="1:10" x14ac:dyDescent="0.35">
      <c r="A388" t="s">
        <v>507</v>
      </c>
      <c r="B388" s="1">
        <v>45926</v>
      </c>
      <c r="C388" t="s">
        <v>39</v>
      </c>
      <c r="D388" t="s">
        <v>12</v>
      </c>
      <c r="E388" t="s">
        <v>13</v>
      </c>
      <c r="F388" t="s">
        <v>18</v>
      </c>
      <c r="G388">
        <v>6</v>
      </c>
      <c r="H388">
        <v>739.85</v>
      </c>
      <c r="I388">
        <v>4439.1000000000004</v>
      </c>
      <c r="J388">
        <v>1310.86</v>
      </c>
    </row>
    <row r="389" spans="1:10" x14ac:dyDescent="0.35">
      <c r="A389" t="s">
        <v>508</v>
      </c>
      <c r="B389" s="1">
        <v>45927</v>
      </c>
      <c r="C389" t="s">
        <v>202</v>
      </c>
      <c r="D389" t="s">
        <v>12</v>
      </c>
      <c r="E389" t="s">
        <v>13</v>
      </c>
      <c r="F389" t="s">
        <v>14</v>
      </c>
      <c r="G389">
        <v>5</v>
      </c>
      <c r="H389">
        <v>993.74</v>
      </c>
      <c r="I389">
        <v>4968.7</v>
      </c>
      <c r="J389">
        <v>803.95</v>
      </c>
    </row>
    <row r="390" spans="1:10" x14ac:dyDescent="0.35">
      <c r="A390" t="s">
        <v>509</v>
      </c>
      <c r="B390" s="1">
        <v>45927</v>
      </c>
      <c r="C390" t="s">
        <v>29</v>
      </c>
      <c r="D390" t="s">
        <v>37</v>
      </c>
      <c r="E390" t="s">
        <v>24</v>
      </c>
      <c r="F390" t="s">
        <v>32</v>
      </c>
      <c r="G390">
        <v>4</v>
      </c>
      <c r="H390">
        <v>36.06</v>
      </c>
      <c r="I390">
        <v>144.24</v>
      </c>
      <c r="J390">
        <v>38.979999999999997</v>
      </c>
    </row>
    <row r="391" spans="1:10" x14ac:dyDescent="0.35">
      <c r="A391" t="s">
        <v>510</v>
      </c>
      <c r="B391" s="1">
        <v>45928</v>
      </c>
      <c r="C391" t="s">
        <v>91</v>
      </c>
      <c r="D391" t="s">
        <v>12</v>
      </c>
      <c r="E391" t="s">
        <v>13</v>
      </c>
      <c r="F391" t="s">
        <v>32</v>
      </c>
      <c r="G391">
        <v>3</v>
      </c>
      <c r="H391">
        <v>1062.29</v>
      </c>
      <c r="I391">
        <v>3186.87</v>
      </c>
      <c r="J391">
        <v>749.5</v>
      </c>
    </row>
    <row r="392" spans="1:10" x14ac:dyDescent="0.35">
      <c r="A392" t="s">
        <v>511</v>
      </c>
      <c r="B392" s="1">
        <v>45929</v>
      </c>
      <c r="C392" t="s">
        <v>207</v>
      </c>
      <c r="D392" t="s">
        <v>63</v>
      </c>
      <c r="E392" t="s">
        <v>64</v>
      </c>
      <c r="F392" t="s">
        <v>32</v>
      </c>
      <c r="G392">
        <v>5</v>
      </c>
      <c r="H392">
        <v>265.89</v>
      </c>
      <c r="I392">
        <v>1329.45</v>
      </c>
      <c r="J392">
        <v>360.27</v>
      </c>
    </row>
    <row r="393" spans="1:10" x14ac:dyDescent="0.35">
      <c r="A393" t="s">
        <v>512</v>
      </c>
      <c r="B393" s="1">
        <v>45930</v>
      </c>
      <c r="C393" t="s">
        <v>249</v>
      </c>
      <c r="D393" t="s">
        <v>40</v>
      </c>
      <c r="E393" t="s">
        <v>24</v>
      </c>
      <c r="F393" t="s">
        <v>14</v>
      </c>
      <c r="G393">
        <v>7</v>
      </c>
      <c r="H393">
        <v>80.3</v>
      </c>
      <c r="I393">
        <v>562.1</v>
      </c>
      <c r="J393">
        <v>100.17</v>
      </c>
    </row>
    <row r="394" spans="1:10" x14ac:dyDescent="0.35">
      <c r="A394" t="s">
        <v>513</v>
      </c>
      <c r="B394" s="1">
        <v>45930</v>
      </c>
      <c r="C394" t="s">
        <v>94</v>
      </c>
      <c r="D394" t="s">
        <v>63</v>
      </c>
      <c r="E394" t="s">
        <v>64</v>
      </c>
      <c r="F394" t="s">
        <v>14</v>
      </c>
      <c r="G394">
        <v>5</v>
      </c>
      <c r="H394">
        <v>359.51</v>
      </c>
      <c r="I394">
        <v>1797.55</v>
      </c>
      <c r="J394">
        <v>207.4</v>
      </c>
    </row>
    <row r="395" spans="1:10" x14ac:dyDescent="0.35">
      <c r="A395" t="s">
        <v>514</v>
      </c>
      <c r="B395" s="1">
        <v>45930</v>
      </c>
      <c r="C395" t="s">
        <v>98</v>
      </c>
      <c r="D395" t="s">
        <v>87</v>
      </c>
      <c r="E395" t="s">
        <v>24</v>
      </c>
      <c r="F395" t="s">
        <v>18</v>
      </c>
      <c r="G395">
        <v>1</v>
      </c>
      <c r="H395">
        <v>126.68</v>
      </c>
      <c r="I395">
        <v>126.68</v>
      </c>
      <c r="J395">
        <v>26.32</v>
      </c>
    </row>
    <row r="396" spans="1:10" x14ac:dyDescent="0.35">
      <c r="A396" t="s">
        <v>515</v>
      </c>
      <c r="B396" s="1">
        <v>45933</v>
      </c>
      <c r="C396" t="s">
        <v>290</v>
      </c>
      <c r="D396" t="s">
        <v>63</v>
      </c>
      <c r="E396" t="s">
        <v>64</v>
      </c>
      <c r="F396" t="s">
        <v>14</v>
      </c>
      <c r="G396">
        <v>10</v>
      </c>
      <c r="H396">
        <v>285.44</v>
      </c>
      <c r="I396">
        <v>2854.4</v>
      </c>
      <c r="J396">
        <v>275.26</v>
      </c>
    </row>
    <row r="397" spans="1:10" x14ac:dyDescent="0.35">
      <c r="A397" t="s">
        <v>516</v>
      </c>
      <c r="B397" s="1">
        <v>45934</v>
      </c>
      <c r="C397" t="s">
        <v>188</v>
      </c>
      <c r="D397" t="s">
        <v>63</v>
      </c>
      <c r="E397" t="s">
        <v>64</v>
      </c>
      <c r="F397" t="s">
        <v>20</v>
      </c>
      <c r="G397">
        <v>3</v>
      </c>
      <c r="H397">
        <v>392.8</v>
      </c>
      <c r="I397">
        <v>1178.4000000000001</v>
      </c>
      <c r="J397">
        <v>264.08</v>
      </c>
    </row>
    <row r="398" spans="1:10" x14ac:dyDescent="0.35">
      <c r="A398" t="s">
        <v>517</v>
      </c>
      <c r="B398" s="1">
        <v>45934</v>
      </c>
      <c r="C398" t="s">
        <v>31</v>
      </c>
      <c r="D398" t="s">
        <v>27</v>
      </c>
      <c r="E398" t="s">
        <v>13</v>
      </c>
      <c r="F398" t="s">
        <v>32</v>
      </c>
      <c r="G398">
        <v>7</v>
      </c>
      <c r="H398">
        <v>236.88</v>
      </c>
      <c r="I398">
        <v>1658.16</v>
      </c>
      <c r="J398">
        <v>253.88</v>
      </c>
    </row>
    <row r="399" spans="1:10" x14ac:dyDescent="0.35">
      <c r="A399" t="s">
        <v>518</v>
      </c>
      <c r="B399" s="1">
        <v>45935</v>
      </c>
      <c r="C399" t="s">
        <v>29</v>
      </c>
      <c r="D399" t="s">
        <v>63</v>
      </c>
      <c r="E399" t="s">
        <v>64</v>
      </c>
      <c r="F399" t="s">
        <v>32</v>
      </c>
      <c r="G399">
        <v>7</v>
      </c>
      <c r="H399">
        <v>226.97</v>
      </c>
      <c r="I399">
        <v>1588.79</v>
      </c>
      <c r="J399">
        <v>207.89</v>
      </c>
    </row>
    <row r="400" spans="1:10" x14ac:dyDescent="0.35">
      <c r="A400" t="s">
        <v>519</v>
      </c>
      <c r="B400" s="1">
        <v>45935</v>
      </c>
      <c r="C400" t="s">
        <v>52</v>
      </c>
      <c r="D400" t="s">
        <v>17</v>
      </c>
      <c r="E400" t="s">
        <v>13</v>
      </c>
      <c r="F400" t="s">
        <v>32</v>
      </c>
      <c r="G400">
        <v>2</v>
      </c>
      <c r="H400">
        <v>399.46</v>
      </c>
      <c r="I400">
        <v>798.92</v>
      </c>
      <c r="J400">
        <v>225.38</v>
      </c>
    </row>
    <row r="401" spans="1:10" x14ac:dyDescent="0.35">
      <c r="A401" t="s">
        <v>520</v>
      </c>
      <c r="B401" s="1">
        <v>45937</v>
      </c>
      <c r="C401" t="s">
        <v>62</v>
      </c>
      <c r="D401" t="s">
        <v>17</v>
      </c>
      <c r="E401" t="s">
        <v>13</v>
      </c>
      <c r="F401" t="s">
        <v>14</v>
      </c>
      <c r="G401">
        <v>8</v>
      </c>
      <c r="H401">
        <v>351.11</v>
      </c>
      <c r="I401">
        <v>2808.88</v>
      </c>
      <c r="J401">
        <v>818.98</v>
      </c>
    </row>
    <row r="402" spans="1:10" x14ac:dyDescent="0.35">
      <c r="A402" t="s">
        <v>521</v>
      </c>
      <c r="B402" s="1">
        <v>45938</v>
      </c>
      <c r="C402" t="s">
        <v>79</v>
      </c>
      <c r="D402" t="s">
        <v>40</v>
      </c>
      <c r="E402" t="s">
        <v>24</v>
      </c>
      <c r="F402" t="s">
        <v>14</v>
      </c>
      <c r="G402">
        <v>6</v>
      </c>
      <c r="H402">
        <v>100.73</v>
      </c>
      <c r="I402">
        <v>604.38</v>
      </c>
      <c r="J402">
        <v>107.65</v>
      </c>
    </row>
    <row r="403" spans="1:10" x14ac:dyDescent="0.35">
      <c r="A403" t="s">
        <v>522</v>
      </c>
      <c r="B403" s="1">
        <v>45938</v>
      </c>
      <c r="C403" t="s">
        <v>66</v>
      </c>
      <c r="D403" t="s">
        <v>27</v>
      </c>
      <c r="E403" t="s">
        <v>13</v>
      </c>
      <c r="F403" t="s">
        <v>20</v>
      </c>
      <c r="G403">
        <v>3</v>
      </c>
      <c r="H403">
        <v>288.83</v>
      </c>
      <c r="I403">
        <v>866.49</v>
      </c>
      <c r="J403">
        <v>86.57</v>
      </c>
    </row>
    <row r="404" spans="1:10" x14ac:dyDescent="0.35">
      <c r="A404" t="s">
        <v>523</v>
      </c>
      <c r="B404" s="1">
        <v>45939</v>
      </c>
      <c r="C404" t="s">
        <v>475</v>
      </c>
      <c r="D404" t="s">
        <v>27</v>
      </c>
      <c r="E404" t="s">
        <v>13</v>
      </c>
      <c r="F404" t="s">
        <v>20</v>
      </c>
      <c r="G404">
        <v>10</v>
      </c>
      <c r="H404">
        <v>174.12</v>
      </c>
      <c r="I404">
        <v>1741.2</v>
      </c>
      <c r="J404">
        <v>253.77</v>
      </c>
    </row>
    <row r="405" spans="1:10" x14ac:dyDescent="0.35">
      <c r="A405" t="s">
        <v>524</v>
      </c>
      <c r="B405" s="1">
        <v>45940</v>
      </c>
      <c r="C405" t="s">
        <v>29</v>
      </c>
      <c r="D405" t="s">
        <v>87</v>
      </c>
      <c r="E405" t="s">
        <v>24</v>
      </c>
      <c r="F405" t="s">
        <v>20</v>
      </c>
      <c r="G405">
        <v>10</v>
      </c>
      <c r="H405">
        <v>104.14</v>
      </c>
      <c r="I405">
        <v>1041.4000000000001</v>
      </c>
      <c r="J405">
        <v>273.67</v>
      </c>
    </row>
    <row r="406" spans="1:10" x14ac:dyDescent="0.35">
      <c r="A406" t="s">
        <v>525</v>
      </c>
      <c r="B406" s="1">
        <v>45941</v>
      </c>
      <c r="C406" t="s">
        <v>120</v>
      </c>
      <c r="D406" t="s">
        <v>63</v>
      </c>
      <c r="E406" t="s">
        <v>64</v>
      </c>
      <c r="F406" t="s">
        <v>32</v>
      </c>
      <c r="G406">
        <v>5</v>
      </c>
      <c r="H406">
        <v>302.17</v>
      </c>
      <c r="I406">
        <v>1510.85</v>
      </c>
      <c r="J406">
        <v>301.18</v>
      </c>
    </row>
    <row r="407" spans="1:10" x14ac:dyDescent="0.35">
      <c r="A407" t="s">
        <v>526</v>
      </c>
      <c r="B407" s="1">
        <v>45942</v>
      </c>
      <c r="C407" t="s">
        <v>58</v>
      </c>
      <c r="D407" t="s">
        <v>12</v>
      </c>
      <c r="E407" t="s">
        <v>13</v>
      </c>
      <c r="F407" t="s">
        <v>18</v>
      </c>
      <c r="G407">
        <v>8</v>
      </c>
      <c r="H407">
        <v>737.32</v>
      </c>
      <c r="I407">
        <v>5898.56</v>
      </c>
      <c r="J407">
        <v>1330.47</v>
      </c>
    </row>
    <row r="408" spans="1:10" x14ac:dyDescent="0.35">
      <c r="A408" t="s">
        <v>527</v>
      </c>
      <c r="B408" s="1">
        <v>45944</v>
      </c>
      <c r="C408" t="s">
        <v>104</v>
      </c>
      <c r="D408" t="s">
        <v>37</v>
      </c>
      <c r="E408" t="s">
        <v>24</v>
      </c>
      <c r="F408" t="s">
        <v>14</v>
      </c>
      <c r="G408">
        <v>1</v>
      </c>
      <c r="H408">
        <v>25.81</v>
      </c>
      <c r="I408">
        <v>25.81</v>
      </c>
      <c r="J408">
        <v>6.12</v>
      </c>
    </row>
    <row r="409" spans="1:10" x14ac:dyDescent="0.35">
      <c r="A409" t="s">
        <v>528</v>
      </c>
      <c r="B409" s="1">
        <v>45945</v>
      </c>
      <c r="C409" t="s">
        <v>290</v>
      </c>
      <c r="D409" t="s">
        <v>27</v>
      </c>
      <c r="E409" t="s">
        <v>13</v>
      </c>
      <c r="F409" t="s">
        <v>14</v>
      </c>
      <c r="G409">
        <v>10</v>
      </c>
      <c r="H409">
        <v>292.98</v>
      </c>
      <c r="I409">
        <v>2929.8</v>
      </c>
      <c r="J409">
        <v>382.67</v>
      </c>
    </row>
    <row r="410" spans="1:10" x14ac:dyDescent="0.35">
      <c r="A410" t="s">
        <v>529</v>
      </c>
      <c r="B410" s="1">
        <v>45945</v>
      </c>
      <c r="C410" t="s">
        <v>271</v>
      </c>
      <c r="D410" t="s">
        <v>23</v>
      </c>
      <c r="E410" t="s">
        <v>24</v>
      </c>
      <c r="F410" t="s">
        <v>20</v>
      </c>
      <c r="G410">
        <v>3</v>
      </c>
      <c r="H410">
        <v>29.82</v>
      </c>
      <c r="I410">
        <v>89.46</v>
      </c>
      <c r="J410">
        <v>14.62</v>
      </c>
    </row>
    <row r="411" spans="1:10" x14ac:dyDescent="0.35">
      <c r="A411" t="s">
        <v>530</v>
      </c>
      <c r="B411" s="1">
        <v>45945</v>
      </c>
      <c r="C411" t="s">
        <v>230</v>
      </c>
      <c r="D411" t="s">
        <v>63</v>
      </c>
      <c r="E411" t="s">
        <v>64</v>
      </c>
      <c r="F411" t="s">
        <v>14</v>
      </c>
      <c r="G411">
        <v>6</v>
      </c>
      <c r="H411">
        <v>406.76</v>
      </c>
      <c r="I411">
        <v>2440.56</v>
      </c>
      <c r="J411">
        <v>520.37</v>
      </c>
    </row>
    <row r="412" spans="1:10" x14ac:dyDescent="0.35">
      <c r="A412" t="s">
        <v>531</v>
      </c>
      <c r="B412" s="1">
        <v>45945</v>
      </c>
      <c r="C412" t="s">
        <v>264</v>
      </c>
      <c r="D412" t="s">
        <v>17</v>
      </c>
      <c r="E412" t="s">
        <v>13</v>
      </c>
      <c r="F412" t="s">
        <v>14</v>
      </c>
      <c r="G412">
        <v>9</v>
      </c>
      <c r="H412">
        <v>686.76</v>
      </c>
      <c r="I412">
        <v>6180.84</v>
      </c>
      <c r="J412">
        <v>800.01</v>
      </c>
    </row>
    <row r="413" spans="1:10" x14ac:dyDescent="0.35">
      <c r="A413" t="s">
        <v>532</v>
      </c>
      <c r="B413" s="1">
        <v>45946</v>
      </c>
      <c r="C413" t="s">
        <v>129</v>
      </c>
      <c r="D413" t="s">
        <v>63</v>
      </c>
      <c r="E413" t="s">
        <v>64</v>
      </c>
      <c r="F413" t="s">
        <v>20</v>
      </c>
      <c r="G413">
        <v>10</v>
      </c>
      <c r="H413">
        <v>307.86</v>
      </c>
      <c r="I413">
        <v>3078.6</v>
      </c>
      <c r="J413">
        <v>506.11</v>
      </c>
    </row>
    <row r="414" spans="1:10" x14ac:dyDescent="0.35">
      <c r="A414" t="s">
        <v>533</v>
      </c>
      <c r="B414" s="1">
        <v>45947</v>
      </c>
      <c r="C414" t="s">
        <v>68</v>
      </c>
      <c r="D414" t="s">
        <v>63</v>
      </c>
      <c r="E414" t="s">
        <v>64</v>
      </c>
      <c r="F414" t="s">
        <v>18</v>
      </c>
      <c r="G414">
        <v>7</v>
      </c>
      <c r="H414">
        <v>209.02</v>
      </c>
      <c r="I414">
        <v>1463.14</v>
      </c>
      <c r="J414">
        <v>246.86</v>
      </c>
    </row>
    <row r="415" spans="1:10" x14ac:dyDescent="0.35">
      <c r="A415" t="s">
        <v>534</v>
      </c>
      <c r="B415" s="1">
        <v>45948</v>
      </c>
      <c r="C415" t="s">
        <v>31</v>
      </c>
      <c r="D415" t="s">
        <v>37</v>
      </c>
      <c r="E415" t="s">
        <v>24</v>
      </c>
      <c r="F415" t="s">
        <v>18</v>
      </c>
      <c r="G415">
        <v>10</v>
      </c>
      <c r="H415">
        <v>55.87</v>
      </c>
      <c r="I415">
        <v>558.70000000000005</v>
      </c>
      <c r="J415">
        <v>46.96</v>
      </c>
    </row>
    <row r="416" spans="1:10" x14ac:dyDescent="0.35">
      <c r="A416" t="s">
        <v>535</v>
      </c>
      <c r="B416" s="1">
        <v>45949</v>
      </c>
      <c r="C416" t="s">
        <v>434</v>
      </c>
      <c r="D416" t="s">
        <v>40</v>
      </c>
      <c r="E416" t="s">
        <v>24</v>
      </c>
      <c r="F416" t="s">
        <v>32</v>
      </c>
      <c r="G416">
        <v>10</v>
      </c>
      <c r="H416">
        <v>111.41</v>
      </c>
      <c r="I416">
        <v>1114.0999999999999</v>
      </c>
      <c r="J416">
        <v>186.93</v>
      </c>
    </row>
    <row r="417" spans="1:10" x14ac:dyDescent="0.35">
      <c r="A417" t="s">
        <v>536</v>
      </c>
      <c r="B417" s="1">
        <v>45949</v>
      </c>
      <c r="C417" t="s">
        <v>414</v>
      </c>
      <c r="D417" t="s">
        <v>23</v>
      </c>
      <c r="E417" t="s">
        <v>24</v>
      </c>
      <c r="F417" t="s">
        <v>32</v>
      </c>
      <c r="G417">
        <v>2</v>
      </c>
      <c r="H417">
        <v>66.739999999999995</v>
      </c>
      <c r="I417">
        <v>133.47999999999999</v>
      </c>
      <c r="J417">
        <v>20.49</v>
      </c>
    </row>
    <row r="418" spans="1:10" x14ac:dyDescent="0.35">
      <c r="A418" t="s">
        <v>537</v>
      </c>
      <c r="B418" s="1">
        <v>45950</v>
      </c>
      <c r="C418" t="s">
        <v>319</v>
      </c>
      <c r="D418" t="s">
        <v>17</v>
      </c>
      <c r="E418" t="s">
        <v>13</v>
      </c>
      <c r="F418" t="s">
        <v>14</v>
      </c>
      <c r="G418">
        <v>2</v>
      </c>
      <c r="H418">
        <v>242.67</v>
      </c>
      <c r="I418">
        <v>485.34</v>
      </c>
      <c r="J418">
        <v>79.41</v>
      </c>
    </row>
    <row r="419" spans="1:10" x14ac:dyDescent="0.35">
      <c r="A419" t="s">
        <v>538</v>
      </c>
      <c r="B419" s="1">
        <v>45952</v>
      </c>
      <c r="C419" t="s">
        <v>174</v>
      </c>
      <c r="D419" t="s">
        <v>17</v>
      </c>
      <c r="E419" t="s">
        <v>13</v>
      </c>
      <c r="F419" t="s">
        <v>20</v>
      </c>
      <c r="G419">
        <v>2</v>
      </c>
      <c r="H419">
        <v>623.14</v>
      </c>
      <c r="I419">
        <v>1246.28</v>
      </c>
      <c r="J419">
        <v>258.86</v>
      </c>
    </row>
    <row r="420" spans="1:10" x14ac:dyDescent="0.35">
      <c r="A420" t="s">
        <v>539</v>
      </c>
      <c r="B420" s="1">
        <v>45952</v>
      </c>
      <c r="C420" t="s">
        <v>104</v>
      </c>
      <c r="D420" t="s">
        <v>87</v>
      </c>
      <c r="E420" t="s">
        <v>24</v>
      </c>
      <c r="F420" t="s">
        <v>14</v>
      </c>
      <c r="G420">
        <v>6</v>
      </c>
      <c r="H420">
        <v>121.56</v>
      </c>
      <c r="I420">
        <v>729.36</v>
      </c>
      <c r="J420">
        <v>217.74</v>
      </c>
    </row>
    <row r="421" spans="1:10" x14ac:dyDescent="0.35">
      <c r="A421" t="s">
        <v>540</v>
      </c>
      <c r="B421" s="1">
        <v>45954</v>
      </c>
      <c r="C421" t="s">
        <v>104</v>
      </c>
      <c r="D421" t="s">
        <v>40</v>
      </c>
      <c r="E421" t="s">
        <v>24</v>
      </c>
      <c r="F421" t="s">
        <v>32</v>
      </c>
      <c r="G421">
        <v>7</v>
      </c>
      <c r="H421">
        <v>70.319999999999993</v>
      </c>
      <c r="I421">
        <v>492.24</v>
      </c>
      <c r="J421">
        <v>83.72</v>
      </c>
    </row>
    <row r="422" spans="1:10" x14ac:dyDescent="0.35">
      <c r="A422" t="s">
        <v>541</v>
      </c>
      <c r="B422" s="1">
        <v>45958</v>
      </c>
      <c r="C422" t="s">
        <v>126</v>
      </c>
      <c r="D422" t="s">
        <v>12</v>
      </c>
      <c r="E422" t="s">
        <v>13</v>
      </c>
      <c r="F422" t="s">
        <v>14</v>
      </c>
      <c r="G422">
        <v>8</v>
      </c>
      <c r="H422">
        <v>852.47</v>
      </c>
      <c r="I422">
        <v>6819.76</v>
      </c>
      <c r="J422">
        <v>1014.1</v>
      </c>
    </row>
    <row r="423" spans="1:10" x14ac:dyDescent="0.35">
      <c r="A423" t="s">
        <v>542</v>
      </c>
      <c r="B423" s="1">
        <v>45959</v>
      </c>
      <c r="C423" t="s">
        <v>145</v>
      </c>
      <c r="D423" t="s">
        <v>87</v>
      </c>
      <c r="E423" t="s">
        <v>24</v>
      </c>
      <c r="F423" t="s">
        <v>32</v>
      </c>
      <c r="G423">
        <v>8</v>
      </c>
      <c r="H423">
        <v>103.68</v>
      </c>
      <c r="I423">
        <v>829.44</v>
      </c>
      <c r="J423">
        <v>79.12</v>
      </c>
    </row>
    <row r="424" spans="1:10" x14ac:dyDescent="0.35">
      <c r="A424" t="s">
        <v>543</v>
      </c>
      <c r="B424" s="1">
        <v>45959</v>
      </c>
      <c r="C424" t="s">
        <v>409</v>
      </c>
      <c r="D424" t="s">
        <v>23</v>
      </c>
      <c r="E424" t="s">
        <v>24</v>
      </c>
      <c r="F424" t="s">
        <v>20</v>
      </c>
      <c r="G424">
        <v>3</v>
      </c>
      <c r="H424">
        <v>53.74</v>
      </c>
      <c r="I424">
        <v>161.22</v>
      </c>
      <c r="J424">
        <v>31.4</v>
      </c>
    </row>
    <row r="425" spans="1:10" x14ac:dyDescent="0.35">
      <c r="A425" t="s">
        <v>544</v>
      </c>
      <c r="B425" s="1">
        <v>45959</v>
      </c>
      <c r="C425" t="s">
        <v>120</v>
      </c>
      <c r="D425" t="s">
        <v>23</v>
      </c>
      <c r="E425" t="s">
        <v>24</v>
      </c>
      <c r="F425" t="s">
        <v>14</v>
      </c>
      <c r="G425">
        <v>1</v>
      </c>
      <c r="H425">
        <v>26.07</v>
      </c>
      <c r="I425">
        <v>26.07</v>
      </c>
      <c r="J425">
        <v>5.23</v>
      </c>
    </row>
    <row r="426" spans="1:10" x14ac:dyDescent="0.35">
      <c r="A426" t="s">
        <v>545</v>
      </c>
      <c r="B426" s="1">
        <v>45960</v>
      </c>
      <c r="C426" t="s">
        <v>434</v>
      </c>
      <c r="D426" t="s">
        <v>37</v>
      </c>
      <c r="E426" t="s">
        <v>24</v>
      </c>
      <c r="F426" t="s">
        <v>18</v>
      </c>
      <c r="G426">
        <v>7</v>
      </c>
      <c r="H426">
        <v>55.52</v>
      </c>
      <c r="I426">
        <v>388.64</v>
      </c>
      <c r="J426">
        <v>71.52</v>
      </c>
    </row>
    <row r="427" spans="1:10" x14ac:dyDescent="0.35">
      <c r="A427" t="s">
        <v>546</v>
      </c>
      <c r="B427" s="1">
        <v>45962</v>
      </c>
      <c r="C427" t="s">
        <v>194</v>
      </c>
      <c r="D427" t="s">
        <v>12</v>
      </c>
      <c r="E427" t="s">
        <v>13</v>
      </c>
      <c r="F427" t="s">
        <v>32</v>
      </c>
      <c r="G427">
        <v>9</v>
      </c>
      <c r="H427">
        <v>500.21</v>
      </c>
      <c r="I427">
        <v>4501.8900000000003</v>
      </c>
      <c r="J427">
        <v>471.38</v>
      </c>
    </row>
    <row r="428" spans="1:10" x14ac:dyDescent="0.35">
      <c r="A428" t="s">
        <v>547</v>
      </c>
      <c r="B428" s="1">
        <v>45965</v>
      </c>
      <c r="C428" t="s">
        <v>124</v>
      </c>
      <c r="D428" t="s">
        <v>23</v>
      </c>
      <c r="E428" t="s">
        <v>24</v>
      </c>
      <c r="F428" t="s">
        <v>18</v>
      </c>
      <c r="G428">
        <v>7</v>
      </c>
      <c r="H428">
        <v>21.84</v>
      </c>
      <c r="I428">
        <v>152.88</v>
      </c>
      <c r="J428">
        <v>42.37</v>
      </c>
    </row>
    <row r="429" spans="1:10" x14ac:dyDescent="0.35">
      <c r="A429" t="s">
        <v>548</v>
      </c>
      <c r="B429" s="1">
        <v>45965</v>
      </c>
      <c r="C429" t="s">
        <v>84</v>
      </c>
      <c r="D429" t="s">
        <v>63</v>
      </c>
      <c r="E429" t="s">
        <v>64</v>
      </c>
      <c r="F429" t="s">
        <v>20</v>
      </c>
      <c r="G429">
        <v>1</v>
      </c>
      <c r="H429">
        <v>363.34</v>
      </c>
      <c r="I429">
        <v>363.34</v>
      </c>
      <c r="J429">
        <v>76.25</v>
      </c>
    </row>
    <row r="430" spans="1:10" x14ac:dyDescent="0.35">
      <c r="A430" t="s">
        <v>549</v>
      </c>
      <c r="B430" s="1">
        <v>45965</v>
      </c>
      <c r="C430" t="s">
        <v>196</v>
      </c>
      <c r="D430" t="s">
        <v>12</v>
      </c>
      <c r="E430" t="s">
        <v>13</v>
      </c>
      <c r="F430" t="s">
        <v>32</v>
      </c>
      <c r="G430">
        <v>7</v>
      </c>
      <c r="H430">
        <v>1200.71</v>
      </c>
      <c r="I430">
        <v>8404.9699999999993</v>
      </c>
      <c r="J430">
        <v>2492.56</v>
      </c>
    </row>
    <row r="431" spans="1:10" x14ac:dyDescent="0.35">
      <c r="A431" t="s">
        <v>550</v>
      </c>
      <c r="B431" s="1">
        <v>45967</v>
      </c>
      <c r="C431" t="s">
        <v>62</v>
      </c>
      <c r="D431" t="s">
        <v>37</v>
      </c>
      <c r="E431" t="s">
        <v>24</v>
      </c>
      <c r="F431" t="s">
        <v>20</v>
      </c>
      <c r="G431">
        <v>4</v>
      </c>
      <c r="H431">
        <v>26.03</v>
      </c>
      <c r="I431">
        <v>104.12</v>
      </c>
      <c r="J431">
        <v>21.95</v>
      </c>
    </row>
    <row r="432" spans="1:10" x14ac:dyDescent="0.35">
      <c r="A432" t="s">
        <v>551</v>
      </c>
      <c r="B432" s="1">
        <v>45967</v>
      </c>
      <c r="C432" t="s">
        <v>31</v>
      </c>
      <c r="D432" t="s">
        <v>37</v>
      </c>
      <c r="E432" t="s">
        <v>24</v>
      </c>
      <c r="F432" t="s">
        <v>14</v>
      </c>
      <c r="G432">
        <v>7</v>
      </c>
      <c r="H432">
        <v>19.63</v>
      </c>
      <c r="I432">
        <v>137.41</v>
      </c>
      <c r="J432">
        <v>25.48</v>
      </c>
    </row>
    <row r="433" spans="1:10" x14ac:dyDescent="0.35">
      <c r="A433" t="s">
        <v>552</v>
      </c>
      <c r="B433" s="1">
        <v>45967</v>
      </c>
      <c r="C433" t="s">
        <v>461</v>
      </c>
      <c r="D433" t="s">
        <v>63</v>
      </c>
      <c r="E433" t="s">
        <v>64</v>
      </c>
      <c r="F433" t="s">
        <v>18</v>
      </c>
      <c r="G433">
        <v>5</v>
      </c>
      <c r="H433">
        <v>130.75</v>
      </c>
      <c r="I433">
        <v>653.75</v>
      </c>
      <c r="J433">
        <v>75.16</v>
      </c>
    </row>
    <row r="434" spans="1:10" x14ac:dyDescent="0.35">
      <c r="A434" t="s">
        <v>553</v>
      </c>
      <c r="B434" s="1">
        <v>45968</v>
      </c>
      <c r="C434" t="s">
        <v>129</v>
      </c>
      <c r="D434" t="s">
        <v>23</v>
      </c>
      <c r="E434" t="s">
        <v>24</v>
      </c>
      <c r="F434" t="s">
        <v>20</v>
      </c>
      <c r="G434">
        <v>1</v>
      </c>
      <c r="H434">
        <v>49.23</v>
      </c>
      <c r="I434">
        <v>49.23</v>
      </c>
      <c r="J434">
        <v>9.9600000000000009</v>
      </c>
    </row>
    <row r="435" spans="1:10" x14ac:dyDescent="0.35">
      <c r="A435" t="s">
        <v>554</v>
      </c>
      <c r="B435" s="1">
        <v>45969</v>
      </c>
      <c r="C435" t="s">
        <v>62</v>
      </c>
      <c r="D435" t="s">
        <v>12</v>
      </c>
      <c r="E435" t="s">
        <v>13</v>
      </c>
      <c r="F435" t="s">
        <v>18</v>
      </c>
      <c r="G435">
        <v>10</v>
      </c>
      <c r="H435">
        <v>1313.03</v>
      </c>
      <c r="I435">
        <v>13130.3</v>
      </c>
      <c r="J435">
        <v>2189.61</v>
      </c>
    </row>
    <row r="436" spans="1:10" x14ac:dyDescent="0.35">
      <c r="A436" t="s">
        <v>555</v>
      </c>
      <c r="B436" s="1">
        <v>45970</v>
      </c>
      <c r="C436" t="s">
        <v>136</v>
      </c>
      <c r="D436" t="s">
        <v>12</v>
      </c>
      <c r="E436" t="s">
        <v>13</v>
      </c>
      <c r="F436" t="s">
        <v>18</v>
      </c>
      <c r="G436">
        <v>3</v>
      </c>
      <c r="H436">
        <v>1338.43</v>
      </c>
      <c r="I436">
        <v>4015.29</v>
      </c>
      <c r="J436">
        <v>882.12</v>
      </c>
    </row>
    <row r="437" spans="1:10" x14ac:dyDescent="0.35">
      <c r="A437" t="s">
        <v>556</v>
      </c>
      <c r="B437" s="1">
        <v>45970</v>
      </c>
      <c r="C437" t="s">
        <v>365</v>
      </c>
      <c r="D437" t="s">
        <v>12</v>
      </c>
      <c r="E437" t="s">
        <v>13</v>
      </c>
      <c r="F437" t="s">
        <v>14</v>
      </c>
      <c r="G437">
        <v>7</v>
      </c>
      <c r="H437">
        <v>540.59</v>
      </c>
      <c r="I437">
        <v>3784.13</v>
      </c>
      <c r="J437">
        <v>748.42</v>
      </c>
    </row>
    <row r="438" spans="1:10" x14ac:dyDescent="0.35">
      <c r="A438" t="s">
        <v>557</v>
      </c>
      <c r="B438" s="1">
        <v>45971</v>
      </c>
      <c r="C438" t="s">
        <v>126</v>
      </c>
      <c r="D438" t="s">
        <v>12</v>
      </c>
      <c r="E438" t="s">
        <v>13</v>
      </c>
      <c r="F438" t="s">
        <v>14</v>
      </c>
      <c r="G438">
        <v>7</v>
      </c>
      <c r="H438">
        <v>529.55999999999995</v>
      </c>
      <c r="I438">
        <v>3706.92</v>
      </c>
      <c r="J438">
        <v>313.57</v>
      </c>
    </row>
    <row r="439" spans="1:10" x14ac:dyDescent="0.35">
      <c r="A439" t="s">
        <v>558</v>
      </c>
      <c r="B439" s="1">
        <v>45971</v>
      </c>
      <c r="C439" t="s">
        <v>475</v>
      </c>
      <c r="D439" t="s">
        <v>63</v>
      </c>
      <c r="E439" t="s">
        <v>64</v>
      </c>
      <c r="F439" t="s">
        <v>14</v>
      </c>
      <c r="G439">
        <v>4</v>
      </c>
      <c r="H439">
        <v>202.92</v>
      </c>
      <c r="I439">
        <v>811.68</v>
      </c>
      <c r="J439">
        <v>115.62</v>
      </c>
    </row>
    <row r="440" spans="1:10" x14ac:dyDescent="0.35">
      <c r="A440" t="s">
        <v>559</v>
      </c>
      <c r="B440" s="1">
        <v>45971</v>
      </c>
      <c r="C440" t="s">
        <v>115</v>
      </c>
      <c r="D440" t="s">
        <v>17</v>
      </c>
      <c r="E440" t="s">
        <v>13</v>
      </c>
      <c r="F440" t="s">
        <v>18</v>
      </c>
      <c r="G440">
        <v>1</v>
      </c>
      <c r="H440">
        <v>298.22000000000003</v>
      </c>
      <c r="I440">
        <v>298.22000000000003</v>
      </c>
      <c r="J440">
        <v>81.760000000000005</v>
      </c>
    </row>
    <row r="441" spans="1:10" x14ac:dyDescent="0.35">
      <c r="A441" t="s">
        <v>560</v>
      </c>
      <c r="B441" s="1">
        <v>45971</v>
      </c>
      <c r="C441" t="s">
        <v>237</v>
      </c>
      <c r="D441" t="s">
        <v>23</v>
      </c>
      <c r="E441" t="s">
        <v>24</v>
      </c>
      <c r="F441" t="s">
        <v>32</v>
      </c>
      <c r="G441">
        <v>1</v>
      </c>
      <c r="H441">
        <v>27.08</v>
      </c>
      <c r="I441">
        <v>27.08</v>
      </c>
      <c r="J441">
        <v>3.21</v>
      </c>
    </row>
    <row r="442" spans="1:10" x14ac:dyDescent="0.35">
      <c r="A442" t="s">
        <v>561</v>
      </c>
      <c r="B442" s="1">
        <v>45971</v>
      </c>
      <c r="C442" t="s">
        <v>42</v>
      </c>
      <c r="D442" t="s">
        <v>12</v>
      </c>
      <c r="E442" t="s">
        <v>13</v>
      </c>
      <c r="F442" t="s">
        <v>18</v>
      </c>
      <c r="G442">
        <v>1</v>
      </c>
      <c r="H442">
        <v>1211.01</v>
      </c>
      <c r="I442">
        <v>1211.01</v>
      </c>
      <c r="J442">
        <v>230.21</v>
      </c>
    </row>
    <row r="443" spans="1:10" x14ac:dyDescent="0.35">
      <c r="A443" t="s">
        <v>562</v>
      </c>
      <c r="B443" s="1">
        <v>45972</v>
      </c>
      <c r="C443" t="s">
        <v>112</v>
      </c>
      <c r="D443" t="s">
        <v>23</v>
      </c>
      <c r="E443" t="s">
        <v>24</v>
      </c>
      <c r="F443" t="s">
        <v>18</v>
      </c>
      <c r="G443">
        <v>10</v>
      </c>
      <c r="H443">
        <v>22.74</v>
      </c>
      <c r="I443">
        <v>227.4</v>
      </c>
      <c r="J443">
        <v>45.2</v>
      </c>
    </row>
    <row r="444" spans="1:10" x14ac:dyDescent="0.35">
      <c r="A444" t="s">
        <v>563</v>
      </c>
      <c r="B444" s="1">
        <v>45973</v>
      </c>
      <c r="C444" t="s">
        <v>269</v>
      </c>
      <c r="D444" t="s">
        <v>87</v>
      </c>
      <c r="E444" t="s">
        <v>24</v>
      </c>
      <c r="F444" t="s">
        <v>32</v>
      </c>
      <c r="G444">
        <v>6</v>
      </c>
      <c r="H444">
        <v>37.32</v>
      </c>
      <c r="I444">
        <v>223.92</v>
      </c>
      <c r="J444">
        <v>17.97</v>
      </c>
    </row>
    <row r="445" spans="1:10" x14ac:dyDescent="0.35">
      <c r="A445" t="s">
        <v>564</v>
      </c>
      <c r="B445" s="1">
        <v>45973</v>
      </c>
      <c r="C445" t="s">
        <v>124</v>
      </c>
      <c r="D445" t="s">
        <v>17</v>
      </c>
      <c r="E445" t="s">
        <v>13</v>
      </c>
      <c r="F445" t="s">
        <v>14</v>
      </c>
      <c r="G445">
        <v>6</v>
      </c>
      <c r="H445">
        <v>599.04999999999995</v>
      </c>
      <c r="I445">
        <v>3594.3</v>
      </c>
      <c r="J445">
        <v>354.04</v>
      </c>
    </row>
    <row r="446" spans="1:10" x14ac:dyDescent="0.35">
      <c r="A446" t="s">
        <v>565</v>
      </c>
      <c r="B446" s="1">
        <v>45973</v>
      </c>
      <c r="C446" t="s">
        <v>214</v>
      </c>
      <c r="D446" t="s">
        <v>63</v>
      </c>
      <c r="E446" t="s">
        <v>64</v>
      </c>
      <c r="F446" t="s">
        <v>14</v>
      </c>
      <c r="G446">
        <v>10</v>
      </c>
      <c r="H446">
        <v>389.78</v>
      </c>
      <c r="I446">
        <v>3897.8</v>
      </c>
      <c r="J446">
        <v>963.62</v>
      </c>
    </row>
    <row r="447" spans="1:10" x14ac:dyDescent="0.35">
      <c r="A447" t="s">
        <v>566</v>
      </c>
      <c r="B447" s="1">
        <v>45976</v>
      </c>
      <c r="C447" t="s">
        <v>241</v>
      </c>
      <c r="D447" t="s">
        <v>40</v>
      </c>
      <c r="E447" t="s">
        <v>24</v>
      </c>
      <c r="F447" t="s">
        <v>14</v>
      </c>
      <c r="G447">
        <v>6</v>
      </c>
      <c r="H447">
        <v>75.64</v>
      </c>
      <c r="I447">
        <v>453.84</v>
      </c>
      <c r="J447">
        <v>51.25</v>
      </c>
    </row>
    <row r="448" spans="1:10" x14ac:dyDescent="0.35">
      <c r="A448" t="s">
        <v>567</v>
      </c>
      <c r="B448" s="1">
        <v>45976</v>
      </c>
      <c r="C448" t="s">
        <v>167</v>
      </c>
      <c r="D448" t="s">
        <v>17</v>
      </c>
      <c r="E448" t="s">
        <v>13</v>
      </c>
      <c r="F448" t="s">
        <v>20</v>
      </c>
      <c r="G448">
        <v>6</v>
      </c>
      <c r="H448">
        <v>276.45</v>
      </c>
      <c r="I448">
        <v>1658.7</v>
      </c>
      <c r="J448">
        <v>133.63999999999999</v>
      </c>
    </row>
    <row r="449" spans="1:10" x14ac:dyDescent="0.35">
      <c r="A449" t="s">
        <v>568</v>
      </c>
      <c r="B449" s="1">
        <v>45977</v>
      </c>
      <c r="C449" t="s">
        <v>34</v>
      </c>
      <c r="D449" t="s">
        <v>37</v>
      </c>
      <c r="E449" t="s">
        <v>24</v>
      </c>
      <c r="F449" t="s">
        <v>32</v>
      </c>
      <c r="G449">
        <v>4</v>
      </c>
      <c r="H449">
        <v>33.17</v>
      </c>
      <c r="I449">
        <v>132.68</v>
      </c>
      <c r="J449">
        <v>27.92</v>
      </c>
    </row>
    <row r="450" spans="1:10" x14ac:dyDescent="0.35">
      <c r="A450" t="s">
        <v>569</v>
      </c>
      <c r="B450" s="1">
        <v>45977</v>
      </c>
      <c r="C450" t="s">
        <v>98</v>
      </c>
      <c r="D450" t="s">
        <v>37</v>
      </c>
      <c r="E450" t="s">
        <v>24</v>
      </c>
      <c r="F450" t="s">
        <v>20</v>
      </c>
      <c r="G450">
        <v>5</v>
      </c>
      <c r="H450">
        <v>30.64</v>
      </c>
      <c r="I450">
        <v>153.19999999999999</v>
      </c>
      <c r="J450">
        <v>33.5</v>
      </c>
    </row>
    <row r="451" spans="1:10" x14ac:dyDescent="0.35">
      <c r="A451" t="s">
        <v>570</v>
      </c>
      <c r="B451" s="1">
        <v>45977</v>
      </c>
      <c r="C451" t="s">
        <v>205</v>
      </c>
      <c r="D451" t="s">
        <v>27</v>
      </c>
      <c r="E451" t="s">
        <v>13</v>
      </c>
      <c r="F451" t="s">
        <v>14</v>
      </c>
      <c r="G451">
        <v>10</v>
      </c>
      <c r="H451">
        <v>245.31</v>
      </c>
      <c r="I451">
        <v>2453.1</v>
      </c>
      <c r="J451">
        <v>472.9</v>
      </c>
    </row>
    <row r="452" spans="1:10" x14ac:dyDescent="0.35">
      <c r="A452" t="s">
        <v>571</v>
      </c>
      <c r="B452" s="1">
        <v>45978</v>
      </c>
      <c r="C452" t="s">
        <v>48</v>
      </c>
      <c r="D452" t="s">
        <v>23</v>
      </c>
      <c r="E452" t="s">
        <v>24</v>
      </c>
      <c r="F452" t="s">
        <v>20</v>
      </c>
      <c r="G452">
        <v>1</v>
      </c>
      <c r="H452">
        <v>63.91</v>
      </c>
      <c r="I452">
        <v>63.91</v>
      </c>
      <c r="J452">
        <v>16.63</v>
      </c>
    </row>
    <row r="453" spans="1:10" x14ac:dyDescent="0.35">
      <c r="A453" t="s">
        <v>572</v>
      </c>
      <c r="B453" s="1">
        <v>45980</v>
      </c>
      <c r="C453" t="s">
        <v>60</v>
      </c>
      <c r="D453" t="s">
        <v>17</v>
      </c>
      <c r="E453" t="s">
        <v>13</v>
      </c>
      <c r="F453" t="s">
        <v>32</v>
      </c>
      <c r="G453">
        <v>7</v>
      </c>
      <c r="H453">
        <v>439.09</v>
      </c>
      <c r="I453">
        <v>3073.63</v>
      </c>
      <c r="J453">
        <v>249.37</v>
      </c>
    </row>
    <row r="454" spans="1:10" x14ac:dyDescent="0.35">
      <c r="A454" t="s">
        <v>573</v>
      </c>
      <c r="B454" s="1">
        <v>45981</v>
      </c>
      <c r="C454" t="s">
        <v>62</v>
      </c>
      <c r="D454" t="s">
        <v>40</v>
      </c>
      <c r="E454" t="s">
        <v>24</v>
      </c>
      <c r="F454" t="s">
        <v>14</v>
      </c>
      <c r="G454">
        <v>9</v>
      </c>
      <c r="H454">
        <v>80.709999999999994</v>
      </c>
      <c r="I454">
        <v>726.39</v>
      </c>
      <c r="J454">
        <v>195.22</v>
      </c>
    </row>
    <row r="455" spans="1:10" x14ac:dyDescent="0.35">
      <c r="A455" t="s">
        <v>574</v>
      </c>
      <c r="B455" s="1">
        <v>45982</v>
      </c>
      <c r="C455" t="s">
        <v>106</v>
      </c>
      <c r="D455" t="s">
        <v>23</v>
      </c>
      <c r="E455" t="s">
        <v>24</v>
      </c>
      <c r="F455" t="s">
        <v>18</v>
      </c>
      <c r="G455">
        <v>10</v>
      </c>
      <c r="H455">
        <v>38.450000000000003</v>
      </c>
      <c r="I455">
        <v>384.5</v>
      </c>
      <c r="J455">
        <v>59.61</v>
      </c>
    </row>
    <row r="456" spans="1:10" x14ac:dyDescent="0.35">
      <c r="A456" t="s">
        <v>575</v>
      </c>
      <c r="B456" s="1">
        <v>45983</v>
      </c>
      <c r="C456" t="s">
        <v>31</v>
      </c>
      <c r="D456" t="s">
        <v>37</v>
      </c>
      <c r="E456" t="s">
        <v>24</v>
      </c>
      <c r="F456" t="s">
        <v>20</v>
      </c>
      <c r="G456">
        <v>3</v>
      </c>
      <c r="H456">
        <v>24.07</v>
      </c>
      <c r="I456">
        <v>72.209999999999994</v>
      </c>
      <c r="J456">
        <v>8.49</v>
      </c>
    </row>
    <row r="457" spans="1:10" x14ac:dyDescent="0.35">
      <c r="A457" t="s">
        <v>576</v>
      </c>
      <c r="B457" s="1">
        <v>45986</v>
      </c>
      <c r="C457" t="s">
        <v>22</v>
      </c>
      <c r="D457" t="s">
        <v>37</v>
      </c>
      <c r="E457" t="s">
        <v>24</v>
      </c>
      <c r="F457" t="s">
        <v>32</v>
      </c>
      <c r="G457">
        <v>7</v>
      </c>
      <c r="H457">
        <v>19.809999999999999</v>
      </c>
      <c r="I457">
        <v>138.66999999999999</v>
      </c>
      <c r="J457">
        <v>30.99</v>
      </c>
    </row>
    <row r="458" spans="1:10" x14ac:dyDescent="0.35">
      <c r="A458" t="s">
        <v>577</v>
      </c>
      <c r="B458" s="1">
        <v>45986</v>
      </c>
      <c r="C458" t="s">
        <v>122</v>
      </c>
      <c r="D458" t="s">
        <v>63</v>
      </c>
      <c r="E458" t="s">
        <v>64</v>
      </c>
      <c r="F458" t="s">
        <v>14</v>
      </c>
      <c r="G458">
        <v>10</v>
      </c>
      <c r="H458">
        <v>286.14999999999998</v>
      </c>
      <c r="I458">
        <v>2861.5</v>
      </c>
      <c r="J458">
        <v>414.11</v>
      </c>
    </row>
    <row r="459" spans="1:10" x14ac:dyDescent="0.35">
      <c r="A459" t="s">
        <v>578</v>
      </c>
      <c r="B459" s="1">
        <v>45988</v>
      </c>
      <c r="C459" t="s">
        <v>271</v>
      </c>
      <c r="D459" t="s">
        <v>23</v>
      </c>
      <c r="E459" t="s">
        <v>24</v>
      </c>
      <c r="F459" t="s">
        <v>14</v>
      </c>
      <c r="G459">
        <v>6</v>
      </c>
      <c r="H459">
        <v>39.549999999999997</v>
      </c>
      <c r="I459">
        <v>237.3</v>
      </c>
      <c r="J459">
        <v>64.88</v>
      </c>
    </row>
    <row r="460" spans="1:10" x14ac:dyDescent="0.35">
      <c r="A460" t="s">
        <v>579</v>
      </c>
      <c r="B460" s="1">
        <v>45990</v>
      </c>
      <c r="C460" t="s">
        <v>434</v>
      </c>
      <c r="D460" t="s">
        <v>63</v>
      </c>
      <c r="E460" t="s">
        <v>64</v>
      </c>
      <c r="F460" t="s">
        <v>20</v>
      </c>
      <c r="G460">
        <v>9</v>
      </c>
      <c r="H460">
        <v>204.86</v>
      </c>
      <c r="I460">
        <v>1843.74</v>
      </c>
      <c r="J460">
        <v>352.28</v>
      </c>
    </row>
    <row r="461" spans="1:10" x14ac:dyDescent="0.35">
      <c r="A461" t="s">
        <v>580</v>
      </c>
      <c r="B461" s="1">
        <v>45991</v>
      </c>
      <c r="C461" t="s">
        <v>162</v>
      </c>
      <c r="D461" t="s">
        <v>37</v>
      </c>
      <c r="E461" t="s">
        <v>24</v>
      </c>
      <c r="F461" t="s">
        <v>20</v>
      </c>
      <c r="G461">
        <v>7</v>
      </c>
      <c r="H461">
        <v>46.08</v>
      </c>
      <c r="I461">
        <v>322.56</v>
      </c>
      <c r="J461">
        <v>90.35</v>
      </c>
    </row>
    <row r="462" spans="1:10" x14ac:dyDescent="0.35">
      <c r="A462" t="s">
        <v>581</v>
      </c>
      <c r="B462" s="1">
        <v>45991</v>
      </c>
      <c r="C462" t="s">
        <v>82</v>
      </c>
      <c r="D462" t="s">
        <v>27</v>
      </c>
      <c r="E462" t="s">
        <v>13</v>
      </c>
      <c r="F462" t="s">
        <v>32</v>
      </c>
      <c r="G462">
        <v>4</v>
      </c>
      <c r="H462">
        <v>440.73</v>
      </c>
      <c r="I462">
        <v>1762.92</v>
      </c>
      <c r="J462">
        <v>154.29</v>
      </c>
    </row>
    <row r="463" spans="1:10" x14ac:dyDescent="0.35">
      <c r="A463" t="s">
        <v>582</v>
      </c>
      <c r="B463" s="1">
        <v>45993</v>
      </c>
      <c r="C463" t="s">
        <v>96</v>
      </c>
      <c r="D463" t="s">
        <v>12</v>
      </c>
      <c r="E463" t="s">
        <v>13</v>
      </c>
      <c r="F463" t="s">
        <v>32</v>
      </c>
      <c r="G463">
        <v>8</v>
      </c>
      <c r="H463">
        <v>1146.6099999999999</v>
      </c>
      <c r="I463">
        <v>9172.8799999999992</v>
      </c>
      <c r="J463">
        <v>2325.67</v>
      </c>
    </row>
    <row r="464" spans="1:10" x14ac:dyDescent="0.35">
      <c r="A464" t="s">
        <v>583</v>
      </c>
      <c r="B464" s="1">
        <v>45993</v>
      </c>
      <c r="C464" t="s">
        <v>178</v>
      </c>
      <c r="D464" t="s">
        <v>17</v>
      </c>
      <c r="E464" t="s">
        <v>13</v>
      </c>
      <c r="F464" t="s">
        <v>32</v>
      </c>
      <c r="G464">
        <v>3</v>
      </c>
      <c r="H464">
        <v>477.66</v>
      </c>
      <c r="I464">
        <v>1432.98</v>
      </c>
      <c r="J464">
        <v>366.77</v>
      </c>
    </row>
    <row r="465" spans="1:10" x14ac:dyDescent="0.35">
      <c r="A465" t="s">
        <v>584</v>
      </c>
      <c r="B465" s="1">
        <v>45993</v>
      </c>
      <c r="C465" t="s">
        <v>44</v>
      </c>
      <c r="D465" t="s">
        <v>23</v>
      </c>
      <c r="E465" t="s">
        <v>24</v>
      </c>
      <c r="F465" t="s">
        <v>20</v>
      </c>
      <c r="G465">
        <v>5</v>
      </c>
      <c r="H465">
        <v>74.77</v>
      </c>
      <c r="I465">
        <v>373.85</v>
      </c>
      <c r="J465">
        <v>29.99</v>
      </c>
    </row>
    <row r="466" spans="1:10" x14ac:dyDescent="0.35">
      <c r="A466" t="s">
        <v>585</v>
      </c>
      <c r="B466" s="1">
        <v>45994</v>
      </c>
      <c r="C466" t="s">
        <v>249</v>
      </c>
      <c r="D466" t="s">
        <v>87</v>
      </c>
      <c r="E466" t="s">
        <v>24</v>
      </c>
      <c r="F466" t="s">
        <v>20</v>
      </c>
      <c r="G466">
        <v>9</v>
      </c>
      <c r="H466">
        <v>155.97</v>
      </c>
      <c r="I466">
        <v>1403.73</v>
      </c>
      <c r="J466">
        <v>237.38</v>
      </c>
    </row>
    <row r="467" spans="1:10" x14ac:dyDescent="0.35">
      <c r="A467" t="s">
        <v>586</v>
      </c>
      <c r="B467" s="1">
        <v>45994</v>
      </c>
      <c r="C467" t="s">
        <v>290</v>
      </c>
      <c r="D467" t="s">
        <v>40</v>
      </c>
      <c r="E467" t="s">
        <v>24</v>
      </c>
      <c r="F467" t="s">
        <v>20</v>
      </c>
      <c r="G467">
        <v>9</v>
      </c>
      <c r="H467">
        <v>102.19</v>
      </c>
      <c r="I467">
        <v>919.71</v>
      </c>
      <c r="J467">
        <v>143.09</v>
      </c>
    </row>
    <row r="468" spans="1:10" x14ac:dyDescent="0.35">
      <c r="A468" t="s">
        <v>587</v>
      </c>
      <c r="B468" s="1">
        <v>45995</v>
      </c>
      <c r="C468" t="s">
        <v>588</v>
      </c>
      <c r="D468" t="s">
        <v>23</v>
      </c>
      <c r="E468" t="s">
        <v>24</v>
      </c>
      <c r="F468" t="s">
        <v>14</v>
      </c>
      <c r="G468">
        <v>8</v>
      </c>
      <c r="H468">
        <v>40.479999999999997</v>
      </c>
      <c r="I468">
        <v>323.83999999999997</v>
      </c>
      <c r="J468">
        <v>75.290000000000006</v>
      </c>
    </row>
    <row r="469" spans="1:10" x14ac:dyDescent="0.35">
      <c r="A469" t="s">
        <v>589</v>
      </c>
      <c r="B469" s="1">
        <v>45998</v>
      </c>
      <c r="C469" t="s">
        <v>241</v>
      </c>
      <c r="D469" t="s">
        <v>23</v>
      </c>
      <c r="E469" t="s">
        <v>24</v>
      </c>
      <c r="F469" t="s">
        <v>18</v>
      </c>
      <c r="G469">
        <v>8</v>
      </c>
      <c r="H469">
        <v>47</v>
      </c>
      <c r="I469">
        <v>376</v>
      </c>
      <c r="J469">
        <v>103.01</v>
      </c>
    </row>
    <row r="470" spans="1:10" x14ac:dyDescent="0.35">
      <c r="A470" t="s">
        <v>590</v>
      </c>
      <c r="B470" s="1">
        <v>45999</v>
      </c>
      <c r="C470" t="s">
        <v>112</v>
      </c>
      <c r="D470" t="s">
        <v>27</v>
      </c>
      <c r="E470" t="s">
        <v>13</v>
      </c>
      <c r="F470" t="s">
        <v>18</v>
      </c>
      <c r="G470">
        <v>9</v>
      </c>
      <c r="H470">
        <v>180.76</v>
      </c>
      <c r="I470">
        <v>1626.84</v>
      </c>
      <c r="J470">
        <v>199.27</v>
      </c>
    </row>
    <row r="471" spans="1:10" x14ac:dyDescent="0.35">
      <c r="A471" t="s">
        <v>591</v>
      </c>
      <c r="B471" s="1">
        <v>45999</v>
      </c>
      <c r="C471" t="s">
        <v>126</v>
      </c>
      <c r="D471" t="s">
        <v>63</v>
      </c>
      <c r="E471" t="s">
        <v>64</v>
      </c>
      <c r="F471" t="s">
        <v>18</v>
      </c>
      <c r="G471">
        <v>6</v>
      </c>
      <c r="H471">
        <v>331.74</v>
      </c>
      <c r="I471">
        <v>1990.44</v>
      </c>
      <c r="J471">
        <v>453.31</v>
      </c>
    </row>
    <row r="472" spans="1:10" x14ac:dyDescent="0.35">
      <c r="A472" t="s">
        <v>592</v>
      </c>
      <c r="B472" s="1">
        <v>46000</v>
      </c>
      <c r="C472" t="s">
        <v>184</v>
      </c>
      <c r="D472" t="s">
        <v>27</v>
      </c>
      <c r="E472" t="s">
        <v>13</v>
      </c>
      <c r="F472" t="s">
        <v>20</v>
      </c>
      <c r="G472">
        <v>1</v>
      </c>
      <c r="H472">
        <v>330.31</v>
      </c>
      <c r="I472">
        <v>330.31</v>
      </c>
      <c r="J472">
        <v>39.08</v>
      </c>
    </row>
    <row r="473" spans="1:10" x14ac:dyDescent="0.35">
      <c r="A473" t="s">
        <v>593</v>
      </c>
      <c r="B473" s="1">
        <v>46001</v>
      </c>
      <c r="C473" t="s">
        <v>134</v>
      </c>
      <c r="D473" t="s">
        <v>27</v>
      </c>
      <c r="E473" t="s">
        <v>13</v>
      </c>
      <c r="F473" t="s">
        <v>20</v>
      </c>
      <c r="G473">
        <v>4</v>
      </c>
      <c r="H473">
        <v>491.44</v>
      </c>
      <c r="I473">
        <v>1965.76</v>
      </c>
      <c r="J473">
        <v>572.77</v>
      </c>
    </row>
    <row r="474" spans="1:10" x14ac:dyDescent="0.35">
      <c r="A474" t="s">
        <v>594</v>
      </c>
      <c r="B474" s="1">
        <v>46002</v>
      </c>
      <c r="C474" t="s">
        <v>205</v>
      </c>
      <c r="D474" t="s">
        <v>37</v>
      </c>
      <c r="E474" t="s">
        <v>24</v>
      </c>
      <c r="F474" t="s">
        <v>14</v>
      </c>
      <c r="G474">
        <v>9</v>
      </c>
      <c r="H474">
        <v>32.6</v>
      </c>
      <c r="I474">
        <v>293.39999999999998</v>
      </c>
      <c r="J474">
        <v>58.54</v>
      </c>
    </row>
    <row r="475" spans="1:10" x14ac:dyDescent="0.35">
      <c r="A475" t="s">
        <v>595</v>
      </c>
      <c r="B475" s="1">
        <v>46002</v>
      </c>
      <c r="C475" t="s">
        <v>164</v>
      </c>
      <c r="D475" t="s">
        <v>63</v>
      </c>
      <c r="E475" t="s">
        <v>64</v>
      </c>
      <c r="F475" t="s">
        <v>14</v>
      </c>
      <c r="G475">
        <v>7</v>
      </c>
      <c r="H475">
        <v>352.07</v>
      </c>
      <c r="I475">
        <v>2464.4899999999998</v>
      </c>
      <c r="J475">
        <v>324.33999999999997</v>
      </c>
    </row>
    <row r="476" spans="1:10" x14ac:dyDescent="0.35">
      <c r="A476" t="s">
        <v>596</v>
      </c>
      <c r="B476" s="1">
        <v>46004</v>
      </c>
      <c r="C476" t="s">
        <v>186</v>
      </c>
      <c r="D476" t="s">
        <v>37</v>
      </c>
      <c r="E476" t="s">
        <v>24</v>
      </c>
      <c r="F476" t="s">
        <v>20</v>
      </c>
      <c r="G476">
        <v>6</v>
      </c>
      <c r="H476">
        <v>45.55</v>
      </c>
      <c r="I476">
        <v>273.3</v>
      </c>
      <c r="J476">
        <v>64.47</v>
      </c>
    </row>
    <row r="477" spans="1:10" x14ac:dyDescent="0.35">
      <c r="A477" t="s">
        <v>597</v>
      </c>
      <c r="B477" s="1">
        <v>46004</v>
      </c>
      <c r="C477" t="s">
        <v>115</v>
      </c>
      <c r="D477" t="s">
        <v>23</v>
      </c>
      <c r="E477" t="s">
        <v>24</v>
      </c>
      <c r="F477" t="s">
        <v>18</v>
      </c>
      <c r="G477">
        <v>1</v>
      </c>
      <c r="H477">
        <v>52.51</v>
      </c>
      <c r="I477">
        <v>52.51</v>
      </c>
      <c r="J477">
        <v>5.88</v>
      </c>
    </row>
    <row r="478" spans="1:10" x14ac:dyDescent="0.35">
      <c r="A478" t="s">
        <v>598</v>
      </c>
      <c r="B478" s="1">
        <v>46005</v>
      </c>
      <c r="C478" t="s">
        <v>365</v>
      </c>
      <c r="D478" t="s">
        <v>17</v>
      </c>
      <c r="E478" t="s">
        <v>13</v>
      </c>
      <c r="F478" t="s">
        <v>20</v>
      </c>
      <c r="G478">
        <v>10</v>
      </c>
      <c r="H478">
        <v>252.81</v>
      </c>
      <c r="I478">
        <v>2528.1</v>
      </c>
      <c r="J478">
        <v>344.24</v>
      </c>
    </row>
    <row r="479" spans="1:10" x14ac:dyDescent="0.35">
      <c r="A479" t="s">
        <v>599</v>
      </c>
      <c r="B479" s="1">
        <v>46006</v>
      </c>
      <c r="C479" t="s">
        <v>75</v>
      </c>
      <c r="D479" t="s">
        <v>87</v>
      </c>
      <c r="E479" t="s">
        <v>24</v>
      </c>
      <c r="F479" t="s">
        <v>20</v>
      </c>
      <c r="G479">
        <v>7</v>
      </c>
      <c r="H479">
        <v>149.93</v>
      </c>
      <c r="I479">
        <v>1049.51</v>
      </c>
      <c r="J479">
        <v>155.99</v>
      </c>
    </row>
    <row r="480" spans="1:10" x14ac:dyDescent="0.35">
      <c r="A480" t="s">
        <v>600</v>
      </c>
      <c r="B480" s="1">
        <v>46006</v>
      </c>
      <c r="C480" t="s">
        <v>198</v>
      </c>
      <c r="D480" t="s">
        <v>12</v>
      </c>
      <c r="E480" t="s">
        <v>13</v>
      </c>
      <c r="F480" t="s">
        <v>20</v>
      </c>
      <c r="G480">
        <v>10</v>
      </c>
      <c r="H480">
        <v>1307.69</v>
      </c>
      <c r="I480">
        <v>13076.9</v>
      </c>
      <c r="J480">
        <v>1826.22</v>
      </c>
    </row>
    <row r="481" spans="1:10" x14ac:dyDescent="0.35">
      <c r="A481" t="s">
        <v>601</v>
      </c>
      <c r="B481" s="1">
        <v>46007</v>
      </c>
      <c r="C481" t="s">
        <v>58</v>
      </c>
      <c r="D481" t="s">
        <v>23</v>
      </c>
      <c r="E481" t="s">
        <v>24</v>
      </c>
      <c r="F481" t="s">
        <v>20</v>
      </c>
      <c r="G481">
        <v>10</v>
      </c>
      <c r="H481">
        <v>46.75</v>
      </c>
      <c r="I481">
        <v>467.5</v>
      </c>
      <c r="J481">
        <v>99.3</v>
      </c>
    </row>
    <row r="482" spans="1:10" x14ac:dyDescent="0.35">
      <c r="A482" t="s">
        <v>602</v>
      </c>
      <c r="B482" s="1">
        <v>46007</v>
      </c>
      <c r="C482" t="s">
        <v>84</v>
      </c>
      <c r="D482" t="s">
        <v>27</v>
      </c>
      <c r="E482" t="s">
        <v>13</v>
      </c>
      <c r="F482" t="s">
        <v>18</v>
      </c>
      <c r="G482">
        <v>1</v>
      </c>
      <c r="H482">
        <v>267.73</v>
      </c>
      <c r="I482">
        <v>267.73</v>
      </c>
      <c r="J482">
        <v>64.53</v>
      </c>
    </row>
    <row r="483" spans="1:10" x14ac:dyDescent="0.35">
      <c r="A483" t="s">
        <v>603</v>
      </c>
      <c r="B483" s="1">
        <v>46007</v>
      </c>
      <c r="C483" t="s">
        <v>22</v>
      </c>
      <c r="D483" t="s">
        <v>40</v>
      </c>
      <c r="E483" t="s">
        <v>24</v>
      </c>
      <c r="F483" t="s">
        <v>20</v>
      </c>
      <c r="G483">
        <v>10</v>
      </c>
      <c r="H483">
        <v>139.13999999999999</v>
      </c>
      <c r="I483">
        <v>1391.4</v>
      </c>
      <c r="J483">
        <v>308.83999999999997</v>
      </c>
    </row>
    <row r="484" spans="1:10" x14ac:dyDescent="0.35">
      <c r="A484" t="s">
        <v>604</v>
      </c>
      <c r="B484" s="1">
        <v>46008</v>
      </c>
      <c r="C484" t="s">
        <v>129</v>
      </c>
      <c r="D484" t="s">
        <v>12</v>
      </c>
      <c r="E484" t="s">
        <v>13</v>
      </c>
      <c r="F484" t="s">
        <v>18</v>
      </c>
      <c r="G484">
        <v>6</v>
      </c>
      <c r="H484">
        <v>1263.32</v>
      </c>
      <c r="I484">
        <v>7579.92</v>
      </c>
      <c r="J484">
        <v>1205.47</v>
      </c>
    </row>
    <row r="485" spans="1:10" x14ac:dyDescent="0.35">
      <c r="A485" t="s">
        <v>605</v>
      </c>
      <c r="B485" s="1">
        <v>46009</v>
      </c>
      <c r="C485" t="s">
        <v>48</v>
      </c>
      <c r="D485" t="s">
        <v>40</v>
      </c>
      <c r="E485" t="s">
        <v>24</v>
      </c>
      <c r="F485" t="s">
        <v>32</v>
      </c>
      <c r="G485">
        <v>10</v>
      </c>
      <c r="H485">
        <v>49.06</v>
      </c>
      <c r="I485">
        <v>490.6</v>
      </c>
      <c r="J485">
        <v>107.52</v>
      </c>
    </row>
    <row r="486" spans="1:10" x14ac:dyDescent="0.35">
      <c r="A486" t="s">
        <v>606</v>
      </c>
      <c r="B486" s="1">
        <v>46010</v>
      </c>
      <c r="C486" t="s">
        <v>91</v>
      </c>
      <c r="D486" t="s">
        <v>63</v>
      </c>
      <c r="E486" t="s">
        <v>64</v>
      </c>
      <c r="F486" t="s">
        <v>20</v>
      </c>
      <c r="G486">
        <v>4</v>
      </c>
      <c r="H486">
        <v>164.53</v>
      </c>
      <c r="I486">
        <v>658.12</v>
      </c>
      <c r="J486">
        <v>172.36</v>
      </c>
    </row>
    <row r="487" spans="1:10" x14ac:dyDescent="0.35">
      <c r="A487" t="s">
        <v>607</v>
      </c>
      <c r="B487" s="1">
        <v>46011</v>
      </c>
      <c r="C487" t="s">
        <v>91</v>
      </c>
      <c r="D487" t="s">
        <v>23</v>
      </c>
      <c r="E487" t="s">
        <v>24</v>
      </c>
      <c r="F487" t="s">
        <v>20</v>
      </c>
      <c r="G487">
        <v>9</v>
      </c>
      <c r="H487">
        <v>67.86</v>
      </c>
      <c r="I487">
        <v>610.74</v>
      </c>
      <c r="J487">
        <v>124.56</v>
      </c>
    </row>
    <row r="488" spans="1:10" x14ac:dyDescent="0.35">
      <c r="A488" t="s">
        <v>608</v>
      </c>
      <c r="B488" s="1">
        <v>46013</v>
      </c>
      <c r="C488" t="s">
        <v>609</v>
      </c>
      <c r="D488" t="s">
        <v>40</v>
      </c>
      <c r="E488" t="s">
        <v>24</v>
      </c>
      <c r="F488" t="s">
        <v>32</v>
      </c>
      <c r="G488">
        <v>4</v>
      </c>
      <c r="H488">
        <v>97.57</v>
      </c>
      <c r="I488">
        <v>390.28</v>
      </c>
      <c r="J488">
        <v>109</v>
      </c>
    </row>
    <row r="489" spans="1:10" x14ac:dyDescent="0.35">
      <c r="A489" t="s">
        <v>610</v>
      </c>
      <c r="B489" s="1">
        <v>46013</v>
      </c>
      <c r="C489" t="s">
        <v>290</v>
      </c>
      <c r="D489" t="s">
        <v>37</v>
      </c>
      <c r="E489" t="s">
        <v>24</v>
      </c>
      <c r="F489" t="s">
        <v>14</v>
      </c>
      <c r="G489">
        <v>4</v>
      </c>
      <c r="H489">
        <v>53.01</v>
      </c>
      <c r="I489">
        <v>212.04</v>
      </c>
      <c r="J489">
        <v>19.399999999999999</v>
      </c>
    </row>
    <row r="490" spans="1:10" x14ac:dyDescent="0.35">
      <c r="A490" t="s">
        <v>611</v>
      </c>
      <c r="B490" s="1">
        <v>46016</v>
      </c>
      <c r="C490" t="s">
        <v>48</v>
      </c>
      <c r="D490" t="s">
        <v>40</v>
      </c>
      <c r="E490" t="s">
        <v>24</v>
      </c>
      <c r="F490" t="s">
        <v>20</v>
      </c>
      <c r="G490">
        <v>4</v>
      </c>
      <c r="H490">
        <v>159.72</v>
      </c>
      <c r="I490">
        <v>638.88</v>
      </c>
      <c r="J490">
        <v>96.92</v>
      </c>
    </row>
    <row r="491" spans="1:10" x14ac:dyDescent="0.35">
      <c r="A491" t="s">
        <v>612</v>
      </c>
      <c r="B491" s="1">
        <v>46016</v>
      </c>
      <c r="C491" t="s">
        <v>186</v>
      </c>
      <c r="D491" t="s">
        <v>12</v>
      </c>
      <c r="E491" t="s">
        <v>13</v>
      </c>
      <c r="F491" t="s">
        <v>18</v>
      </c>
      <c r="G491">
        <v>5</v>
      </c>
      <c r="H491">
        <v>558.49</v>
      </c>
      <c r="I491">
        <v>2792.45</v>
      </c>
      <c r="J491">
        <v>497.26</v>
      </c>
    </row>
    <row r="492" spans="1:10" x14ac:dyDescent="0.35">
      <c r="A492" t="s">
        <v>613</v>
      </c>
      <c r="B492" s="1">
        <v>46016</v>
      </c>
      <c r="C492" t="s">
        <v>184</v>
      </c>
      <c r="D492" t="s">
        <v>37</v>
      </c>
      <c r="E492" t="s">
        <v>24</v>
      </c>
      <c r="F492" t="s">
        <v>14</v>
      </c>
      <c r="G492">
        <v>10</v>
      </c>
      <c r="H492">
        <v>15.76</v>
      </c>
      <c r="I492">
        <v>157.6</v>
      </c>
      <c r="J492">
        <v>19.350000000000001</v>
      </c>
    </row>
    <row r="493" spans="1:10" x14ac:dyDescent="0.35">
      <c r="A493" t="s">
        <v>614</v>
      </c>
      <c r="B493" s="1">
        <v>46017</v>
      </c>
      <c r="C493" t="s">
        <v>94</v>
      </c>
      <c r="D493" t="s">
        <v>37</v>
      </c>
      <c r="E493" t="s">
        <v>24</v>
      </c>
      <c r="F493" t="s">
        <v>32</v>
      </c>
      <c r="G493">
        <v>6</v>
      </c>
      <c r="H493">
        <v>22.69</v>
      </c>
      <c r="I493">
        <v>136.13999999999999</v>
      </c>
      <c r="J493">
        <v>13.74</v>
      </c>
    </row>
    <row r="494" spans="1:10" x14ac:dyDescent="0.35">
      <c r="A494" t="s">
        <v>615</v>
      </c>
      <c r="B494" s="1">
        <v>46017</v>
      </c>
      <c r="C494" t="s">
        <v>205</v>
      </c>
      <c r="D494" t="s">
        <v>12</v>
      </c>
      <c r="E494" t="s">
        <v>13</v>
      </c>
      <c r="F494" t="s">
        <v>14</v>
      </c>
      <c r="G494">
        <v>3</v>
      </c>
      <c r="H494">
        <v>619.04999999999995</v>
      </c>
      <c r="I494">
        <v>1857.15</v>
      </c>
      <c r="J494">
        <v>288.57</v>
      </c>
    </row>
    <row r="495" spans="1:10" x14ac:dyDescent="0.35">
      <c r="A495" t="s">
        <v>616</v>
      </c>
      <c r="B495" s="1">
        <v>46018</v>
      </c>
      <c r="C495" t="s">
        <v>82</v>
      </c>
      <c r="D495" t="s">
        <v>27</v>
      </c>
      <c r="E495" t="s">
        <v>13</v>
      </c>
      <c r="F495" t="s">
        <v>20</v>
      </c>
      <c r="G495">
        <v>3</v>
      </c>
      <c r="H495">
        <v>282.57</v>
      </c>
      <c r="I495">
        <v>847.71</v>
      </c>
      <c r="J495">
        <v>103.11</v>
      </c>
    </row>
    <row r="496" spans="1:10" x14ac:dyDescent="0.35">
      <c r="A496" t="s">
        <v>617</v>
      </c>
      <c r="B496" s="1">
        <v>46019</v>
      </c>
      <c r="C496" t="s">
        <v>241</v>
      </c>
      <c r="D496" t="s">
        <v>17</v>
      </c>
      <c r="E496" t="s">
        <v>13</v>
      </c>
      <c r="F496" t="s">
        <v>18</v>
      </c>
      <c r="G496">
        <v>8</v>
      </c>
      <c r="H496">
        <v>460.72</v>
      </c>
      <c r="I496">
        <v>3685.76</v>
      </c>
      <c r="J496">
        <v>1045.46</v>
      </c>
    </row>
    <row r="497" spans="1:10" x14ac:dyDescent="0.35">
      <c r="A497" t="s">
        <v>618</v>
      </c>
      <c r="B497" s="1">
        <v>46019</v>
      </c>
      <c r="C497" t="s">
        <v>588</v>
      </c>
      <c r="D497" t="s">
        <v>37</v>
      </c>
      <c r="E497" t="s">
        <v>24</v>
      </c>
      <c r="F497" t="s">
        <v>32</v>
      </c>
      <c r="G497">
        <v>10</v>
      </c>
      <c r="H497">
        <v>45.25</v>
      </c>
      <c r="I497">
        <v>452.5</v>
      </c>
      <c r="J497">
        <v>96.91</v>
      </c>
    </row>
    <row r="498" spans="1:10" x14ac:dyDescent="0.35">
      <c r="A498" t="s">
        <v>619</v>
      </c>
      <c r="B498" s="1">
        <v>46021</v>
      </c>
      <c r="C498" t="s">
        <v>62</v>
      </c>
      <c r="D498" t="s">
        <v>40</v>
      </c>
      <c r="E498" t="s">
        <v>24</v>
      </c>
      <c r="F498" t="s">
        <v>20</v>
      </c>
      <c r="G498">
        <v>3</v>
      </c>
      <c r="H498">
        <v>103.91</v>
      </c>
      <c r="I498">
        <v>311.73</v>
      </c>
      <c r="J498">
        <v>45.57</v>
      </c>
    </row>
    <row r="499" spans="1:10" x14ac:dyDescent="0.35">
      <c r="A499" t="s">
        <v>620</v>
      </c>
      <c r="B499" s="1">
        <v>46021</v>
      </c>
      <c r="C499" t="s">
        <v>39</v>
      </c>
      <c r="D499" t="s">
        <v>40</v>
      </c>
      <c r="E499" t="s">
        <v>24</v>
      </c>
      <c r="F499" t="s">
        <v>20</v>
      </c>
      <c r="G499">
        <v>1</v>
      </c>
      <c r="H499">
        <v>148.78</v>
      </c>
      <c r="I499">
        <v>148.78</v>
      </c>
      <c r="J499">
        <v>37.06</v>
      </c>
    </row>
    <row r="500" spans="1:10" x14ac:dyDescent="0.35">
      <c r="A500" t="s">
        <v>621</v>
      </c>
      <c r="B500" s="1">
        <v>46021</v>
      </c>
      <c r="C500" t="s">
        <v>194</v>
      </c>
      <c r="D500" t="s">
        <v>23</v>
      </c>
      <c r="E500" t="s">
        <v>24</v>
      </c>
      <c r="F500" t="s">
        <v>32</v>
      </c>
      <c r="G500">
        <v>1</v>
      </c>
      <c r="H500">
        <v>32.369999999999997</v>
      </c>
      <c r="I500">
        <v>32.369999999999997</v>
      </c>
      <c r="J500">
        <v>8.7799999999999994</v>
      </c>
    </row>
    <row r="501" spans="1:10" x14ac:dyDescent="0.35">
      <c r="A501" t="s">
        <v>622</v>
      </c>
      <c r="B501" s="1">
        <v>46022</v>
      </c>
      <c r="C501" t="s">
        <v>156</v>
      </c>
      <c r="D501" t="s">
        <v>17</v>
      </c>
      <c r="E501" t="s">
        <v>13</v>
      </c>
      <c r="F501" t="s">
        <v>18</v>
      </c>
      <c r="G501">
        <v>10</v>
      </c>
      <c r="H501">
        <v>490.58</v>
      </c>
      <c r="I501">
        <v>4905.8</v>
      </c>
      <c r="J501">
        <v>1058.55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EDE32-DF0A-491E-A400-333127974123}">
  <dimension ref="A1:G5"/>
  <sheetViews>
    <sheetView tabSelected="1" topLeftCell="B1" zoomScale="49" zoomScaleNormal="49" workbookViewId="0">
      <selection activeCell="W12" sqref="W12"/>
    </sheetView>
  </sheetViews>
  <sheetFormatPr defaultRowHeight="14.5" x14ac:dyDescent="0.35"/>
  <sheetData>
    <row r="1" spans="1:7" x14ac:dyDescent="0.35">
      <c r="A1" t="s">
        <v>641</v>
      </c>
    </row>
    <row r="4" spans="1:7" x14ac:dyDescent="0.35">
      <c r="A4" t="s">
        <v>642</v>
      </c>
      <c r="C4" t="s">
        <v>643</v>
      </c>
      <c r="E4" t="s">
        <v>644</v>
      </c>
      <c r="G4" t="s">
        <v>645</v>
      </c>
    </row>
    <row r="5" spans="1:7" x14ac:dyDescent="0.35">
      <c r="A5">
        <f>Sheet3!B8</f>
        <v>852038.45</v>
      </c>
      <c r="C5">
        <f>Sheet3!C8</f>
        <v>161430.78</v>
      </c>
      <c r="E5">
        <f>COUNTA(Sales_Data!A2:A501)</f>
        <v>500</v>
      </c>
      <c r="G5" s="6">
        <f>SUM(Sales_Data!G2:G501)</f>
        <v>2768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Sheet2</vt:lpstr>
      <vt:lpstr>Sheet4</vt:lpstr>
      <vt:lpstr>Sheet5</vt:lpstr>
      <vt:lpstr>Sheet6</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jayasri palla</cp:lastModifiedBy>
  <dcterms:created xsi:type="dcterms:W3CDTF">2026-08-15T06:23:17Z</dcterms:created>
  <dcterms:modified xsi:type="dcterms:W3CDTF">2026-08-15T15:32:22Z</dcterms:modified>
</cp:coreProperties>
</file>